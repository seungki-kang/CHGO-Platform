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d7c6b7e89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ation Backlog" sheetId="1" r:id="R89ad373c34104bc0"/>
    <x:sheet xmlns:r="http://schemas.openxmlformats.org/officeDocument/2006/relationships" name="Dashboard" sheetId="2" r:id="R6525d814de7b4865"/>
    <x:sheet xmlns:r="http://schemas.openxmlformats.org/officeDocument/2006/relationships" name="Release Gates" sheetId="3" r:id="R0d3ac7c8fb4644e8"/>
    <x:sheet xmlns:r="http://schemas.openxmlformats.org/officeDocument/2006/relationships" name="Source Map" sheetId="4" r:id="R6a1f66be4bb64324"/>
    <x:sheet xmlns:r="http://schemas.openxmlformats.org/officeDocument/2006/relationships" name="Lists" sheetId="5" r:id="R9c523511a418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752"/>
      </x:patternFill>
    </x:fill>
    <x:fill>
      <x:patternFill patternType="solid">
        <x:fgColor rgb="FF2F6F6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6237b36e24154" /><Relationship Type="http://schemas.openxmlformats.org/officeDocument/2006/relationships/theme" Target="/xl/theme/theme1.xml" Id="R973b5d5af91945fe" /><Relationship Type="http://schemas.openxmlformats.org/officeDocument/2006/relationships/sharedStrings" Target="/xl/sharedStrings.xml" Id="R62908592778d4076" /><Relationship Type="http://schemas.openxmlformats.org/officeDocument/2006/relationships/worksheet" Target="/xl/worksheets/sheet1.xml" Id="R89ad373c34104bc0" /><Relationship Type="http://schemas.openxmlformats.org/officeDocument/2006/relationships/worksheet" Target="/xl/worksheets/sheet2.xml" Id="R6525d814de7b4865" /><Relationship Type="http://schemas.openxmlformats.org/officeDocument/2006/relationships/worksheet" Target="/xl/worksheets/sheet3.xml" Id="R0d3ac7c8fb4644e8" /><Relationship Type="http://schemas.openxmlformats.org/officeDocument/2006/relationships/worksheet" Target="/xl/worksheets/sheet4.xml" Id="R6a1f66be4bb64324" /><Relationship Type="http://schemas.openxmlformats.org/officeDocument/2006/relationships/worksheet" Target="/xl/worksheets/sheet5.xml" Id="R9c523511a41841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ad9b0ce7de48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Stories by Epic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Name</c:v>
          </c:tx>
          <c:cat>
            <c:strRef>
              <c:f>'Dashboard'!$D$4:$D$15</c:f>
              <c:strCache>
                <c:ptCount val="0"/>
              </c:strCache>
            </c:strRef>
          </c:cat>
          <c:val>
            <c:numRef>
              <c:f>'Dashboard'!$E$4:$E$15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Stories</c:v>
          </c:tx>
          <c:cat>
            <c:strRef>
              <c:f>'Dashboard'!$D$4:$D$15</c:f>
              <c:strCache>
                <c:ptCount val="0"/>
              </c:strCache>
            </c:strRef>
          </c:cat>
          <c:val>
            <c:numRef>
              <c:f>'Dashboard'!$F$4:$F$15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ad9b0ce7de48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mplementationBacklogTable" displayName="ImplementationBacklogTable" ref="A1:R77" headerRowCount="1" totalsRowCount="0" totalsRowShown="0">
  <x:tableColumns count="18">
    <x:tableColumn id="1" name="Story ID"/>
    <x:tableColumn id="2" name="Epic"/>
    <x:tableColumn id="3" name="Epic Name"/>
    <x:tableColumn id="4" name="Story"/>
    <x:tableColumn id="5" name="Priority"/>
    <x:tableColumn id="6" name="Status"/>
    <x:tableColumn id="7" name="Owner"/>
    <x:tableColumn id="8" name="Workstream"/>
    <x:tableColumn id="9" name="Dependencies"/>
    <x:tableColumn id="10" name="Build / Deliverable"/>
    <x:tableColumn id="11" name="Acceptance Criteria"/>
    <x:tableColumn id="12" name="Canonical Source"/>
    <x:tableColumn id="13" name="Release Gate"/>
    <x:tableColumn id="14" name="Progress %"/>
    <x:tableColumn id="15" name="Ready?"/>
    <x:tableColumn id="16" name="Blocker / Decision"/>
    <x:tableColumn id="17" name="Sprint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easeGateTable" displayName="ReleaseGateTable" ref="A1:F13" headerRowCount="1" totalsRowCount="0" totalsRowShown="0">
  <x:tableColumns count="6">
    <x:tableColumn id="1" name="Gate"/>
    <x:tableColumn id="2" name="Name"/>
    <x:tableColumn id="3" name="PASS Condition"/>
    <x:tableColumn id="4" name="Status"/>
    <x:tableColumn id="5" name="Owner"/>
    <x:tableColumn id="6" name="Evidence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MapTable" displayName="SourceMapTable" ref="A1:D14" headerRowCount="1" totalsRowCount="0" totalsRowShown="0">
  <x:tableColumns count="4">
    <x:tableColumn id="1" name="Priority"/>
    <x:tableColumn id="2" name="Source"/>
    <x:tableColumn id="3" name="Role in Implementation"/>
    <x:tableColumn id="4" name="Active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9616d6015d40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eb6252f54ba44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5c92962aad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f24bcd21ab4e5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25" hidden="0" customWidth="1"/>
    <x:col min="4" max="4" width="31" hidden="0" customWidth="1"/>
    <x:col min="5" max="5" width="9" hidden="0" customWidth="1"/>
    <x:col min="6" max="6" width="13" hidden="0" customWidth="1"/>
    <x:col min="7" max="7" width="17" hidden="0" customWidth="1"/>
    <x:col min="8" max="8" width="19" hidden="0" customWidth="1"/>
    <x:col min="9" max="9" width="25" hidden="0" customWidth="1"/>
    <x:col min="10" max="10" width="38" hidden="0" customWidth="1"/>
    <x:col min="11" max="11" width="40" hidden="0" customWidth="1"/>
    <x:col min="12" max="12" width="28" hidden="0" customWidth="1"/>
    <x:col min="13" max="13" width="18" hidden="0" customWidth="1"/>
    <x:col min="14" max="14" width="11" hidden="0" customWidth="1"/>
    <x:col min="15" max="15" width="10" hidden="0" customWidth="1"/>
    <x:col min="16" max="16" width="28" hidden="0" customWidth="1"/>
    <x:col min="17" max="17" width="10" hidden="0" customWidth="1"/>
    <x:col min="18" max="18" width="30" hidden="0" customWidth="1"/>
  </x:cols>
  <x:sheetData>
    <x:row r="1">
      <x:c r="A1" s="6" t="str">
        <x:v>Story ID</x:v>
      </x:c>
      <x:c r="B1" s="6" t="str">
        <x:v>Epic</x:v>
      </x:c>
      <x:c r="C1" s="6" t="str">
        <x:v>Epic Name</x:v>
      </x:c>
      <x:c r="D1" s="6" t="str">
        <x:v>Story</x:v>
      </x:c>
      <x:c r="E1" s="6" t="str">
        <x:v>Priority</x:v>
      </x:c>
      <x:c r="F1" s="6" t="str">
        <x:v>Status</x:v>
      </x:c>
      <x:c r="G1" s="6" t="str">
        <x:v>Owner</x:v>
      </x:c>
      <x:c r="H1" s="6" t="str">
        <x:v>Workstream</x:v>
      </x:c>
      <x:c r="I1" s="6" t="str">
        <x:v>Dependencies</x:v>
      </x:c>
      <x:c r="J1" s="6" t="str">
        <x:v>Build / Deliverable</x:v>
      </x:c>
      <x:c r="K1" s="6" t="str">
        <x:v>Acceptance Criteria</x:v>
      </x:c>
      <x:c r="L1" s="6" t="str">
        <x:v>Canonical Source</x:v>
      </x:c>
      <x:c r="M1" s="6" t="str">
        <x:v>Release Gate</x:v>
      </x:c>
      <x:c r="N1" s="6" t="str">
        <x:v>Progress %</x:v>
      </x:c>
      <x:c r="O1" s="6" t="str">
        <x:v>Ready?</x:v>
      </x:c>
      <x:c r="P1" s="6" t="str">
        <x:v>Blocker / Decision</x:v>
      </x:c>
      <x:c r="Q1" s="6" t="str">
        <x:v>Sprint</x:v>
      </x:c>
      <x:c r="R1" s="6" t="str">
        <x:v>Notes</x:v>
      </x:c>
    </x:row>
    <x:row r="2">
      <x:c r="A2" s="12" t="str">
        <x:v>E0-S1</x:v>
      </x:c>
      <x:c r="B2" s="12" t="str">
        <x:v>E0</x:v>
      </x:c>
      <x:c r="C2" s="12" t="str">
        <x:v>Foundation &amp; Contract</x:v>
      </x:c>
      <x:c r="D2" s="12" t="str">
        <x:v>Monorepo/services/modules skeleton</x:v>
      </x:c>
      <x:c r="E2" s="12" t="str">
        <x:v>P0</x:v>
      </x:c>
      <x:c r="F2" s="12" t="str">
        <x:v>Not Started</x:v>
      </x:c>
      <x:c r="G2" s="12" t="str">
        <x:v>Tech Lead</x:v>
      </x:c>
      <x:c r="H2" s="12" t="str">
        <x:v>Backend/Architecture</x:v>
      </x:c>
      <x:c r="I2" s="12" t="str">
        <x:v>None</x:v>
      </x:c>
      <x:c r="J2" s="12" t="str">
        <x:v>formation, reasoning, question, growth, measurement, community 모듈 경계 구성</x:v>
      </x:c>
      <x:c r="K2" s="12" t="str">
        <x:v>모듈 경계가 repo에서 명확히 보임</x:v>
      </x:c>
      <x:c r="L2" s="12" t="str">
        <x:v>S0-04B; S0-05B; DGM Handoff 1.1</x:v>
      </x:c>
      <x:c r="M2" s="12" t="str">
        <x:v>G-VS-01; G-VS-02</x:v>
      </x:c>
      <x:c r="N2" s="14" t="n">
        <x:v>0</x:v>
      </x:c>
      <x:c r="O2" s="12" t="str">
        <x:v>No</x:v>
      </x:c>
      <x:c r="P2" s="12" t="str"/>
      <x:c r="Q2" s="12" t="str"/>
      <x:c r="R2" s="12" t="str"/>
    </x:row>
    <x:row r="3">
      <x:c r="A3" s="12" t="str">
        <x:v>E0-S2</x:v>
      </x:c>
      <x:c r="B3" s="12" t="str">
        <x:v>E0</x:v>
      </x:c>
      <x:c r="C3" s="12" t="str">
        <x:v>Foundation &amp; Contract</x:v>
      </x:c>
      <x:c r="D3" s="12" t="str">
        <x:v>PostgreSQL migration baseline</x:v>
      </x:c>
      <x:c r="E3" s="12" t="str">
        <x:v>P0</x:v>
      </x:c>
      <x:c r="F3" s="12" t="str">
        <x:v>Not Started</x:v>
      </x:c>
      <x:c r="G3" s="12" t="str">
        <x:v>Data Architect</x:v>
      </x:c>
      <x:c r="H3" s="12" t="str">
        <x:v>DB</x:v>
      </x:c>
      <x:c r="I3" s="12" t="str">
        <x:v>E0-S1</x:v>
      </x:c>
      <x:c r="J3" s="12" t="str">
        <x:v>S0-04B 핵심 table migration 작성</x:v>
      </x:c>
      <x:c r="K3" s="12" t="str">
        <x:v>Clean DB에서 migration 성공</x:v>
      </x:c>
      <x:c r="L3" s="12" t="str">
        <x:v>S0-04B</x:v>
      </x:c>
      <x:c r="M3" s="12" t="str">
        <x:v>G-VS-02</x:v>
      </x:c>
      <x:c r="N3" s="14" t="n">
        <x:v>0</x:v>
      </x:c>
      <x:c r="O3" s="12" t="str">
        <x:v>No</x:v>
      </x:c>
      <x:c r="P3" s="12" t="str"/>
      <x:c r="Q3" s="12" t="str"/>
      <x:c r="R3" s="12" t="str"/>
    </x:row>
    <x:row r="4">
      <x:c r="A4" s="12" t="str">
        <x:v>E0-S3</x:v>
      </x:c>
      <x:c r="B4" s="12" t="str">
        <x:v>E0</x:v>
      </x:c>
      <x:c r="C4" s="12" t="str">
        <x:v>Foundation &amp; Contract</x:v>
      </x:c>
      <x:c r="D4" s="12" t="str">
        <x:v>OpenAPI /api/v1 skeleton</x:v>
      </x:c>
      <x:c r="E4" s="12" t="str">
        <x:v>P0</x:v>
      </x:c>
      <x:c r="F4" s="12" t="str">
        <x:v>Not Started</x:v>
      </x:c>
      <x:c r="G4" s="12" t="str">
        <x:v>API Lead</x:v>
      </x:c>
      <x:c r="H4" s="12" t="str">
        <x:v>API</x:v>
      </x:c>
      <x:c r="I4" s="12" t="str">
        <x:v>E0-S1</x:v>
      </x:c>
      <x:c r="J4" s="12" t="str">
        <x:v>공통 auth/error/version schema와 endpoint skeleton</x:v>
      </x:c>
      <x:c r="K4" s="12" t="str">
        <x:v>OpenAPI lint/validation PASS</x:v>
      </x:c>
      <x:c r="L4" s="12" t="str">
        <x:v>S0-05B</x:v>
      </x:c>
      <x:c r="M4" s="12" t="str">
        <x:v>G-VS-03</x:v>
      </x:c>
      <x:c r="N4" s="14" t="n">
        <x:v>0</x:v>
      </x:c>
      <x:c r="O4" s="12" t="str">
        <x:v>No</x:v>
      </x:c>
      <x:c r="P4" s="12" t="str"/>
      <x:c r="Q4" s="12" t="str"/>
      <x:c r="R4" s="12" t="str"/>
    </x:row>
    <x:row r="5">
      <x:c r="A5" s="12" t="str">
        <x:v>E0-S4</x:v>
      </x:c>
      <x:c r="B5" s="12" t="str">
        <x:v>E0</x:v>
      </x:c>
      <x:c r="C5" s="12" t="str">
        <x:v>Foundation &amp; Contract</x:v>
      </x:c>
      <x:c r="D5" s="12" t="str">
        <x:v>VersionLineage component</x:v>
      </x:c>
      <x:c r="E5" s="12" t="str">
        <x:v>P0</x:v>
      </x:c>
      <x:c r="F5" s="12" t="str">
        <x:v>Not Started</x:v>
      </x:c>
      <x:c r="G5" s="12" t="str">
        <x:v>Backend Lead</x:v>
      </x:c>
      <x:c r="H5" s="12" t="str">
        <x:v>Backend/DB</x:v>
      </x:c>
      <x:c r="I5" s="12" t="str">
        <x:v>E0-S2</x:v>
      </x:c>
      <x:c r="J5" s="12" t="str">
        <x:v>policy/calculation/model/prompt 등 version lineage 공통 component</x:v>
      </x:c>
      <x:c r="K5" s="12" t="str">
        <x:v>Derived object가 해당 version 저장 가능</x:v>
      </x:c>
      <x:c r="L5" s="12" t="str">
        <x:v>S0-04B; S0-05B</x:v>
      </x:c>
      <x:c r="M5" s="12" t="str">
        <x:v>G-VS-02; G-VS-03</x:v>
      </x:c>
      <x:c r="N5" s="14" t="n">
        <x:v>0</x:v>
      </x:c>
      <x:c r="O5" s="12" t="str">
        <x:v>No</x:v>
      </x:c>
      <x:c r="P5" s="12" t="str"/>
      <x:c r="Q5" s="12" t="str"/>
      <x:c r="R5" s="12" t="str"/>
    </x:row>
    <x:row r="6">
      <x:c r="A6" s="12" t="str">
        <x:v>E0-S5</x:v>
      </x:c>
      <x:c r="B6" s="12" t="str">
        <x:v>E0</x:v>
      </x:c>
      <x:c r="C6" s="12" t="str">
        <x:v>Foundation &amp; Contract</x:v>
      </x:c>
      <x:c r="D6" s="12" t="str">
        <x:v>Request/Audit plumbing</x:v>
      </x:c>
      <x:c r="E6" s="12" t="str">
        <x:v>P0</x:v>
      </x:c>
      <x:c r="F6" s="12" t="str">
        <x:v>Not Started</x:v>
      </x:c>
      <x:c r="G6" s="12" t="str">
        <x:v>Security Lead</x:v>
      </x:c>
      <x:c r="H6" s="12" t="str">
        <x:v>Backend/Security</x:v>
      </x:c>
      <x:c r="I6" s="12" t="str">
        <x:v>E0-S3</x:v>
      </x:c>
      <x:c r="J6" s="12" t="str">
        <x:v>request_id 전파 및 민감 read/write audit 기반</x:v>
      </x:c>
      <x:c r="K6" s="12" t="str">
        <x:v>민감 operation audit 가능; raw journal 로그 금지</x:v>
      </x:c>
      <x:c r="L6" s="12" t="str">
        <x:v>S0-05B</x:v>
      </x:c>
      <x:c r="M6" s="12" t="str">
        <x:v>G-VS-03; G-VS-08</x:v>
      </x:c>
      <x:c r="N6" s="14" t="n">
        <x:v>0</x:v>
      </x:c>
      <x:c r="O6" s="12" t="str">
        <x:v>No</x:v>
      </x:c>
      <x:c r="P6" s="12" t="str"/>
      <x:c r="Q6" s="12" t="str"/>
      <x:c r="R6" s="12" t="str"/>
    </x:row>
    <x:row r="7">
      <x:c r="A7" s="12" t="str">
        <x:v>E0-S6</x:v>
      </x:c>
      <x:c r="B7" s="12" t="str">
        <x:v>E0</x:v>
      </x:c>
      <x:c r="C7" s="12" t="str">
        <x:v>Foundation &amp; Contract</x:v>
      </x:c>
      <x:c r="D7" s="12" t="str">
        <x:v>CI contract gate</x:v>
      </x:c>
      <x:c r="E7" s="12" t="str">
        <x:v>P0</x:v>
      </x:c>
      <x:c r="F7" s="12" t="str">
        <x:v>Not Started</x:v>
      </x:c>
      <x:c r="G7" s="12" t="str">
        <x:v>QA Lead</x:v>
      </x:c>
      <x:c r="H7" s="12" t="str">
        <x:v>DevOps/QA</x:v>
      </x:c>
      <x:c r="I7" s="12" t="str">
        <x:v>E0-S2; E0-S3</x:v>
      </x:c>
      <x:c r="J7" s="12" t="str">
        <x:v>migration/schema/unit/contract test CI gate</x:v>
      </x:c>
      <x:c r="K7" s="12" t="str">
        <x:v>실패 시 merge 차단</x:v>
      </x:c>
      <x:c r="L7" s="12" t="str">
        <x:v>DGM-08; GM-TEST</x:v>
      </x:c>
      <x:c r="M7" s="12" t="str">
        <x:v>G-VS-02; G-VS-03</x:v>
      </x:c>
      <x:c r="N7" s="14" t="n">
        <x:v>0</x:v>
      </x:c>
      <x:c r="O7" s="12" t="str">
        <x:v>No</x:v>
      </x:c>
      <x:c r="P7" s="12" t="str"/>
      <x:c r="Q7" s="12" t="str"/>
      <x:c r="R7" s="12" t="str"/>
    </x:row>
    <x:row r="8">
      <x:c r="A8" s="12" t="str">
        <x:v>E1-S1</x:v>
      </x:c>
      <x:c r="B8" s="12" t="str">
        <x:v>E1</x:v>
      </x:c>
      <x:c r="C8" s="12" t="str">
        <x:v>Identity · Consent · Access</x:v>
      </x:c>
      <x:c r="D8" s="12" t="str">
        <x:v>/me + tenant membership</x:v>
      </x:c>
      <x:c r="E8" s="12" t="str">
        <x:v>P0</x:v>
      </x:c>
      <x:c r="F8" s="12" t="str">
        <x:v>Not Started</x:v>
      </x:c>
      <x:c r="G8" s="12" t="str">
        <x:v>Backend Lead</x:v>
      </x:c>
      <x:c r="H8" s="12" t="str">
        <x:v>Backend/API</x:v>
      </x:c>
      <x:c r="I8" s="12" t="str">
        <x:v>E0-S3</x:v>
      </x:c>
      <x:c r="J8" s="12" t="str">
        <x:v>actor/profile/role/tenant membership 구현</x:v>
      </x:c>
      <x:c r="K8" s="12" t="str">
        <x:v>client tenant_id만으로 권한 결정하지 않음</x:v>
      </x:c>
      <x:c r="L8" s="12" t="str">
        <x:v>S0-04B; S0-05B</x:v>
      </x:c>
      <x:c r="M8" s="12" t="str">
        <x:v>G-VS-08</x:v>
      </x:c>
      <x:c r="N8" s="14" t="n">
        <x:v>0</x:v>
      </x:c>
      <x:c r="O8" s="12" t="str">
        <x:v>No</x:v>
      </x:c>
      <x:c r="P8" s="12" t="str"/>
      <x:c r="Q8" s="12" t="str"/>
      <x:c r="R8" s="12" t="str"/>
    </x:row>
    <x:row r="9">
      <x:c r="A9" s="12" t="str">
        <x:v>E1-S2</x:v>
      </x:c>
      <x:c r="B9" s="12" t="str">
        <x:v>E1</x:v>
      </x:c>
      <x:c r="C9" s="12" t="str">
        <x:v>Identity · Consent · Access</x:v>
      </x:c>
      <x:c r="D9" s="12" t="str">
        <x:v>Versioned consent</x:v>
      </x:c>
      <x:c r="E9" s="12" t="str">
        <x:v>P0</x:v>
      </x:c>
      <x:c r="F9" s="12" t="str">
        <x:v>Not Started</x:v>
      </x:c>
      <x:c r="G9" s="12" t="str">
        <x:v>Privacy Lead</x:v>
      </x:c>
      <x:c r="H9" s="12" t="str">
        <x:v>Backend/API</x:v>
      </x:c>
      <x:c r="I9" s="12" t="str">
        <x:v>E1-S1</x:v>
      </x:c>
      <x:c r="J9" s="12" t="str">
        <x:v>consent version/effective_at/withdrawal</x:v>
      </x:c>
      <x:c r="K9" s="12" t="str">
        <x:v>철회 lineage 보존</x:v>
      </x:c>
      <x:c r="L9" s="12" t="str">
        <x:v>DGM-05; S0-05B</x:v>
      </x:c>
      <x:c r="M9" s="12" t="str">
        <x:v>G-VS-08</x:v>
      </x:c>
      <x:c r="N9" s="14" t="n">
        <x:v>0</x:v>
      </x:c>
      <x:c r="O9" s="12" t="str">
        <x:v>No</x:v>
      </x:c>
      <x:c r="P9" s="12" t="str"/>
      <x:c r="Q9" s="12" t="str"/>
      <x:c r="R9" s="12" t="str"/>
    </x:row>
    <x:row r="10">
      <x:c r="A10" s="12" t="str">
        <x:v>E1-S3</x:v>
      </x:c>
      <x:c r="B10" s="12" t="str">
        <x:v>E1</x:v>
      </x:c>
      <x:c r="C10" s="12" t="str">
        <x:v>Identity · Consent · Access</x:v>
      </x:c>
      <x:c r="D10" s="12" t="str">
        <x:v>AccessGrant</x:v>
      </x:c>
      <x:c r="E10" s="12" t="str">
        <x:v>P0</x:v>
      </x:c>
      <x:c r="F10" s="12" t="str">
        <x:v>Not Started</x:v>
      </x:c>
      <x:c r="G10" s="12" t="str">
        <x:v>Privacy Lead</x:v>
      </x:c>
      <x:c r="H10" s="12" t="str">
        <x:v>Backend/API</x:v>
      </x:c>
      <x:c r="I10" s="12" t="str">
        <x:v>E1-S2</x:v>
      </x:c>
      <x:c r="J10" s="12" t="str">
        <x:v>resource/scope별 grant/revoke</x:v>
      </x:c>
      <x:c r="K10" s="12" t="str">
        <x:v>grant 범위 밖 read DENY</x:v>
      </x:c>
      <x:c r="L10" s="12" t="str">
        <x:v>DGM-05; S0-05B</x:v>
      </x:c>
      <x:c r="M10" s="12" t="str">
        <x:v>G-VS-08</x:v>
      </x:c>
      <x:c r="N10" s="14" t="n">
        <x:v>0</x:v>
      </x:c>
      <x:c r="O10" s="12" t="str">
        <x:v>No</x:v>
      </x:c>
      <x:c r="P10" s="12" t="str"/>
      <x:c r="Q10" s="12" t="str"/>
      <x:c r="R10" s="12" t="str"/>
    </x:row>
    <x:row r="11">
      <x:c r="A11" s="12" t="str">
        <x:v>E1-S4</x:v>
      </x:c>
      <x:c r="B11" s="12" t="str">
        <x:v>E1</x:v>
      </x:c>
      <x:c r="C11" s="12" t="str">
        <x:v>Identity · Consent · Access</x:v>
      </x:c>
      <x:c r="D11" s="12" t="str">
        <x:v>Coach assignment</x:v>
      </x:c>
      <x:c r="E11" s="12" t="str">
        <x:v>P0</x:v>
      </x:c>
      <x:c r="F11" s="12" t="str">
        <x:v>Not Started</x:v>
      </x:c>
      <x:c r="G11" s="12" t="str">
        <x:v>Backend Lead</x:v>
      </x:c>
      <x:c r="H11" s="12" t="str">
        <x:v>Backend/DB</x:v>
      </x:c>
      <x:c r="I11" s="12" t="str">
        <x:v>E1-S1</x:v>
      </x:c>
      <x:c r="J11" s="12" t="str">
        <x:v>Coach assignment lifecycle</x:v>
      </x:c>
      <x:c r="K11" s="12" t="str">
        <x:v>assignment만으로 private read 불가</x:v>
      </x:c>
      <x:c r="L11" s="12" t="str">
        <x:v>DGM-05</x:v>
      </x:c>
      <x:c r="M11" s="12" t="str">
        <x:v>G-VS-08</x:v>
      </x:c>
      <x:c r="N11" s="14" t="n">
        <x:v>0</x:v>
      </x:c>
      <x:c r="O11" s="12" t="str">
        <x:v>No</x:v>
      </x:c>
      <x:c r="P11" s="12" t="str"/>
      <x:c r="Q11" s="12" t="str"/>
      <x:c r="R11" s="12" t="str"/>
    </x:row>
    <x:row r="12">
      <x:c r="A12" s="12" t="str">
        <x:v>E1-S5</x:v>
      </x:c>
      <x:c r="B12" s="12" t="str">
        <x:v>E1</x:v>
      </x:c>
      <x:c r="C12" s="12" t="str">
        <x:v>Identity · Consent · Access</x:v>
      </x:c>
      <x:c r="D12" s="12" t="str">
        <x:v>Dual Gate policy</x:v>
      </x:c>
      <x:c r="E12" s="12" t="str">
        <x:v>P0</x:v>
      </x:c>
      <x:c r="F12" s="12" t="str">
        <x:v>Not Started</x:v>
      </x:c>
      <x:c r="G12" s="12" t="str">
        <x:v>Security Lead</x:v>
      </x:c>
      <x:c r="H12" s="12" t="str">
        <x:v>Security/API</x:v>
      </x:c>
      <x:c r="I12" s="12" t="str">
        <x:v>E1-S3; E1-S4</x:v>
      </x:c>
      <x:c r="J12" s="12" t="str">
        <x:v>assignment + active grant/consent authorization</x:v>
      </x:c>
      <x:c r="K12" s="12" t="str">
        <x:v>둘 중 하나라도 부족하면 403</x:v>
      </x:c>
      <x:c r="L12" s="12" t="str">
        <x:v>DGM-05; S0-05B</x:v>
      </x:c>
      <x:c r="M12" s="12" t="str">
        <x:v>G-VS-08</x:v>
      </x:c>
      <x:c r="N12" s="14" t="n">
        <x:v>0</x:v>
      </x:c>
      <x:c r="O12" s="12" t="str">
        <x:v>No</x:v>
      </x:c>
      <x:c r="P12" s="12" t="str"/>
      <x:c r="Q12" s="12" t="str"/>
      <x:c r="R12" s="12" t="str"/>
    </x:row>
    <x:row r="13">
      <x:c r="A13" s="12" t="str">
        <x:v>E1-S6</x:v>
      </x:c>
      <x:c r="B13" s="12" t="str">
        <x:v>E1</x:v>
      </x:c>
      <x:c r="C13" s="12" t="str">
        <x:v>Identity · Consent · Access</x:v>
      </x:c>
      <x:c r="D13" s="12" t="str">
        <x:v>Revocation enforcement</x:v>
      </x:c>
      <x:c r="E13" s="12" t="str">
        <x:v>P0</x:v>
      </x:c>
      <x:c r="F13" s="12" t="str">
        <x:v>Not Started</x:v>
      </x:c>
      <x:c r="G13" s="12" t="str">
        <x:v>Security Lead</x:v>
      </x:c>
      <x:c r="H13" s="12" t="str">
        <x:v>Security/API</x:v>
      </x:c>
      <x:c r="I13" s="12" t="str">
        <x:v>E1-S5</x:v>
      </x:c>
      <x:c r="J13" s="12" t="str">
        <x:v>철회 이후 protected access 차단</x:v>
      </x:c>
      <x:c r="K13" s="12" t="str">
        <x:v>future protected access DENY</x:v>
      </x:c>
      <x:c r="L13" s="12" t="str">
        <x:v>DGM-05; GM-TEST</x:v>
      </x:c>
      <x:c r="M13" s="12" t="str">
        <x:v>G-VS-08</x:v>
      </x:c>
      <x:c r="N13" s="14" t="n">
        <x:v>0</x:v>
      </x:c>
      <x:c r="O13" s="12" t="str">
        <x:v>No</x:v>
      </x:c>
      <x:c r="P13" s="12" t="str"/>
      <x:c r="Q13" s="12" t="str"/>
      <x:c r="R13" s="12" t="str"/>
    </x:row>
    <x:row r="14">
      <x:c r="A14" s="12" t="str">
        <x:v>E1-S7</x:v>
      </x:c>
      <x:c r="B14" s="12" t="str">
        <x:v>E1</x:v>
      </x:c>
      <x:c r="C14" s="12" t="str">
        <x:v>Identity · Consent · Access</x:v>
      </x:c>
      <x:c r="D14" s="12" t="str">
        <x:v>RLS defense-in-depth</x:v>
      </x:c>
      <x:c r="E14" s="12" t="str">
        <x:v>P1</x:v>
      </x:c>
      <x:c r="F14" s="12" t="str">
        <x:v>Not Started</x:v>
      </x:c>
      <x:c r="G14" s="12" t="str">
        <x:v>Data Architect</x:v>
      </x:c>
      <x:c r="H14" s="12" t="str">
        <x:v>DB/Security</x:v>
      </x:c>
      <x:c r="I14" s="12" t="str">
        <x:v>E1-S1</x:v>
      </x:c>
      <x:c r="J14" s="12" t="str">
        <x:v>tenant/private boundary RLS 보조</x:v>
      </x:c>
      <x:c r="K14" s="12" t="str">
        <x:v>server auth 우회 시에도 boundary 보조</x:v>
      </x:c>
      <x:c r="L14" s="12" t="str">
        <x:v>S0-04B</x:v>
      </x:c>
      <x:c r="M14" s="12" t="str">
        <x:v>G-VS-08</x:v>
      </x:c>
      <x:c r="N14" s="14" t="n">
        <x:v>0</x:v>
      </x:c>
      <x:c r="O14" s="12" t="str">
        <x:v>No</x:v>
      </x:c>
      <x:c r="P14" s="12" t="str"/>
      <x:c r="Q14" s="12" t="str"/>
      <x:c r="R14" s="12" t="str"/>
    </x:row>
    <x:row r="15">
      <x:c r="A15" s="12" t="str">
        <x:v>E2-S1</x:v>
      </x:c>
      <x:c r="B15" s="12" t="str">
        <x:v>E2</x:v>
      </x:c>
      <x:c r="C15" s="12" t="str">
        <x:v>Formation · Life Diary</x:v>
      </x:c>
      <x:c r="D15" s="12" t="str">
        <x:v>Formation session</x:v>
      </x:c>
      <x:c r="E15" s="12" t="str">
        <x:v>P0</x:v>
      </x:c>
      <x:c r="F15" s="12" t="str">
        <x:v>Not Started</x:v>
      </x:c>
      <x:c r="G15" s="12" t="str">
        <x:v>Backend Lead</x:v>
      </x:c>
      <x:c r="H15" s="12" t="str">
        <x:v>Backend/API</x:v>
      </x:c>
      <x:c r="I15" s="12" t="str">
        <x:v>E1-S1</x:v>
      </x:c>
      <x:c r="J15" s="12" t="str">
        <x:v>세션 start/close</x:v>
      </x:c>
      <x:c r="K15" s="12" t="str">
        <x:v>세션 lifecycle 추적</x:v>
      </x:c>
      <x:c r="L15" s="12" t="str">
        <x:v>S0-04B; S0-05B</x:v>
      </x:c>
      <x:c r="M15" s="12" t="str">
        <x:v>G-VS-04</x:v>
      </x:c>
      <x:c r="N15" s="14" t="n">
        <x:v>0</x:v>
      </x:c>
      <x:c r="O15" s="12" t="str">
        <x:v>No</x:v>
      </x:c>
      <x:c r="P15" s="12" t="str"/>
      <x:c r="Q15" s="12" t="str"/>
      <x:c r="R15" s="12" t="str"/>
    </x:row>
    <x:row r="16">
      <x:c r="A16" s="12" t="str">
        <x:v>E2-S2</x:v>
      </x:c>
      <x:c r="B16" s="12" t="str">
        <x:v>E2</x:v>
      </x:c>
      <x:c r="C16" s="12" t="str">
        <x:v>Formation · Life Diary</x:v>
      </x:c>
      <x:c r="D16" s="12" t="str">
        <x:v>LifeEvent</x:v>
      </x:c>
      <x:c r="E16" s="12" t="str">
        <x:v>P0</x:v>
      </x:c>
      <x:c r="F16" s="12" t="str">
        <x:v>Not Started</x:v>
      </x:c>
      <x:c r="G16" s="12" t="str">
        <x:v>Backend Lead</x:v>
      </x:c>
      <x:c r="H16" s="12" t="str">
        <x:v>Backend/API</x:v>
      </x:c>
      <x:c r="I16" s="12" t="str">
        <x:v>E2-S1</x:v>
      </x:c>
      <x:c r="J16" s="12" t="str">
        <x:v>LifeEvent + event_time_precision</x:v>
      </x:c>
      <x:c r="K16" s="12" t="str">
        <x:v>Person identity와 Episode 분리</x:v>
      </x:c>
      <x:c r="L16" s="12" t="str">
        <x:v>S0-04B</x:v>
      </x:c>
      <x:c r="M16" s="12" t="str">
        <x:v>G-VS-04</x:v>
      </x:c>
      <x:c r="N16" s="14" t="n">
        <x:v>0</x:v>
      </x:c>
      <x:c r="O16" s="12" t="str">
        <x:v>No</x:v>
      </x:c>
      <x:c r="P16" s="12" t="str"/>
      <x:c r="Q16" s="12" t="str"/>
      <x:c r="R16" s="12" t="str"/>
    </x:row>
    <x:row r="17">
      <x:c r="A17" s="12" t="str">
        <x:v>E2-S3</x:v>
      </x:c>
      <x:c r="B17" s="12" t="str">
        <x:v>E2</x:v>
      </x:c>
      <x:c r="C17" s="12" t="str">
        <x:v>Formation · Life Diary</x:v>
      </x:c>
      <x:c r="D17" s="12" t="str">
        <x:v>Structured reflection</x:v>
      </x:c>
      <x:c r="E17" s="12" t="str">
        <x:v>P0</x:v>
      </x:c>
      <x:c r="F17" s="12" t="str">
        <x:v>Not Started</x:v>
      </x:c>
      <x:c r="G17" s="12" t="str">
        <x:v>Product Lead</x:v>
      </x:c>
      <x:c r="H17" s="12" t="str">
        <x:v>Frontend/Backend</x:v>
      </x:c>
      <x:c r="I17" s="12" t="str">
        <x:v>E2-S2</x:v>
      </x:c>
      <x:c r="J17" s="12" t="str">
        <x:v>old-person/within/responsibility/cross/kingdom 구조화</x:v>
      </x:c>
      <x:c r="K17" s="12" t="str">
        <x:v>구조화 성찰 저장/조회</x:v>
      </x:c>
      <x:c r="L17" s="12" t="str">
        <x:v>Digital MVP Data; S0-04B</x:v>
      </x:c>
      <x:c r="M17" s="12" t="str">
        <x:v>G-VS-04</x:v>
      </x:c>
      <x:c r="N17" s="14" t="n">
        <x:v>0</x:v>
      </x:c>
      <x:c r="O17" s="12" t="str">
        <x:v>No</x:v>
      </x:c>
      <x:c r="P17" s="12" t="str"/>
      <x:c r="Q17" s="12" t="str"/>
      <x:c r="R17" s="12" t="str"/>
    </x:row>
    <x:row r="18">
      <x:c r="A18" s="12" t="str">
        <x:v>E2-S4</x:v>
      </x:c>
      <x:c r="B18" s="12" t="str">
        <x:v>E2</x:v>
      </x:c>
      <x:c r="C18" s="12" t="str">
        <x:v>Formation · Life Diary</x:v>
      </x:c>
      <x:c r="D18" s="12" t="str">
        <x:v>LifeJournal 7 questions</x:v>
      </x:c>
      <x:c r="E18" s="12" t="str">
        <x:v>P0</x:v>
      </x:c>
      <x:c r="F18" s="12" t="str">
        <x:v>Not Started</x:v>
      </x:c>
      <x:c r="G18" s="12" t="str">
        <x:v>Product Lead</x:v>
      </x:c>
      <x:c r="H18" s="12" t="str">
        <x:v>Frontend/Backend</x:v>
      </x:c>
      <x:c r="I18" s="12" t="str">
        <x:v>E2-S3</x:v>
      </x:c>
      <x:c r="J18" s="12" t="str">
        <x:v>7문항별 상태와 structured answer</x:v>
      </x:c>
      <x:c r="K18" s="12" t="str">
        <x:v>문항별 저장 및 재개 가능</x:v>
      </x:c>
      <x:c r="L18" s="12" t="str">
        <x:v>Digital MVP Data</x:v>
      </x:c>
      <x:c r="M18" s="12" t="str">
        <x:v>G-VS-04</x:v>
      </x:c>
      <x:c r="N18" s="14" t="n">
        <x:v>0</x:v>
      </x:c>
      <x:c r="O18" s="12" t="str">
        <x:v>No</x:v>
      </x:c>
      <x:c r="P18" s="12" t="str"/>
      <x:c r="Q18" s="12" t="str"/>
      <x:c r="R18" s="12" t="str"/>
    </x:row>
    <x:row r="19">
      <x:c r="A19" s="12" t="str">
        <x:v>E2-S5</x:v>
      </x:c>
      <x:c r="B19" s="12" t="str">
        <x:v>E2</x:v>
      </x:c>
      <x:c r="C19" s="12" t="str">
        <x:v>Formation · Life Diary</x:v>
      </x:c>
      <x:c r="D19" s="12" t="str">
        <x:v>Raw resource separation</x:v>
      </x:c>
      <x:c r="E19" s="12" t="str">
        <x:v>P0</x:v>
      </x:c>
      <x:c r="F19" s="12" t="str">
        <x:v>Not Started</x:v>
      </x:c>
      <x:c r="G19" s="12" t="str">
        <x:v>Privacy Lead</x:v>
      </x:c>
      <x:c r="H19" s="12" t="str">
        <x:v>DB/Security</x:v>
      </x:c>
      <x:c r="I19" s="12" t="str">
        <x:v>E2-S4</x:v>
      </x:c>
      <x:c r="J19" s="12" t="str">
        <x:v>raw text/audio/transcript를 restricted ref로 분리</x:v>
      </x:c>
      <x:c r="K19" s="12" t="str">
        <x:v>Core row inline raw 금지</x:v>
      </x:c>
      <x:c r="L19" s="12" t="str">
        <x:v>DGM-05; S0-04B</x:v>
      </x:c>
      <x:c r="M19" s="12" t="str">
        <x:v>G-VS-08</x:v>
      </x:c>
      <x:c r="N19" s="14" t="n">
        <x:v>0</x:v>
      </x:c>
      <x:c r="O19" s="12" t="str">
        <x:v>No</x:v>
      </x:c>
      <x:c r="P19" s="12" t="str"/>
      <x:c r="Q19" s="12" t="str"/>
      <x:c r="R19" s="12" t="str"/>
    </x:row>
    <x:row r="20">
      <x:c r="A20" s="12" t="str">
        <x:v>E2-S6</x:v>
      </x:c>
      <x:c r="B20" s="12" t="str">
        <x:v>E2</x:v>
      </x:c>
      <x:c r="C20" s="12" t="str">
        <x:v>Formation · Life Diary</x:v>
      </x:c>
      <x:c r="D20" s="12" t="str">
        <x:v>GrowthEpisode adapter</x:v>
      </x:c>
      <x:c r="E20" s="12" t="str">
        <x:v>P0</x:v>
      </x:c>
      <x:c r="F20" s="12" t="str">
        <x:v>Not Started</x:v>
      </x:c>
      <x:c r="G20" s="12" t="str">
        <x:v>Backend Lead</x:v>
      </x:c>
      <x:c r="H20" s="12" t="str">
        <x:v>Backend/DB</x:v>
      </x:c>
      <x:c r="I20" s="12" t="str">
        <x:v>E2-S2; E2-S4</x:v>
      </x:c>
      <x:c r="J20" s="12" t="str">
        <x:v>LifeEvent/LifeJournal source → episode_source</x:v>
      </x:c>
      <x:c r="K20" s="12" t="str">
        <x:v>source lineage 추적</x:v>
      </x:c>
      <x:c r="L20" s="12" t="str">
        <x:v>S0-04B</x:v>
      </x:c>
      <x:c r="M20" s="12" t="str">
        <x:v>G-VS-04</x:v>
      </x:c>
      <x:c r="N20" s="14" t="n">
        <x:v>0</x:v>
      </x:c>
      <x:c r="O20" s="12" t="str">
        <x:v>No</x:v>
      </x:c>
      <x:c r="P20" s="12" t="str"/>
      <x:c r="Q20" s="12" t="str"/>
      <x:c r="R20" s="12" t="str"/>
    </x:row>
    <x:row r="21">
      <x:c r="A21" s="12" t="str">
        <x:v>E2-S7</x:v>
      </x:c>
      <x:c r="B21" s="12" t="str">
        <x:v>E2</x:v>
      </x:c>
      <x:c r="C21" s="12" t="str">
        <x:v>Formation · Life Diary</x:v>
      </x:c>
      <x:c r="D21" s="12" t="str">
        <x:v>Third-party minimization</x:v>
      </x:c>
      <x:c r="E21" s="12" t="str">
        <x:v>P0</x:v>
      </x:c>
      <x:c r="F21" s="12" t="str">
        <x:v>Not Started</x:v>
      </x:c>
      <x:c r="G21" s="12" t="str">
        <x:v>Privacy Lead</x:v>
      </x:c>
      <x:c r="H21" s="12" t="str">
        <x:v>Schema/UX</x:v>
      </x:c>
      <x:c r="I21" s="12" t="str">
        <x:v>E2-S3</x:v>
      </x:c>
      <x:c r="J21" s="12" t="str">
        <x:v>타인 관련 필드 최소화</x:v>
      </x:c>
      <x:c r="K21" s="12" t="str">
        <x:v>other_person_profile 없음</x:v>
      </x:c>
      <x:c r="L21" s="12" t="str">
        <x:v>S0-05B; DGM-05</x:v>
      </x:c>
      <x:c r="M21" s="12" t="str">
        <x:v>G-VS-08</x:v>
      </x:c>
      <x:c r="N21" s="14" t="n">
        <x:v>0</x:v>
      </x:c>
      <x:c r="O21" s="12" t="str">
        <x:v>No</x:v>
      </x:c>
      <x:c r="P21" s="12" t="str"/>
      <x:c r="Q21" s="12" t="str"/>
      <x:c r="R21" s="12" t="str"/>
    </x:row>
    <x:row r="22">
      <x:c r="A22" s="12" t="str">
        <x:v>E3-S1</x:v>
      </x:c>
      <x:c r="B22" s="12" t="str">
        <x:v>E3</x:v>
      </x:c>
      <x:c r="C22" s="12" t="str">
        <x:v>AI Reasoning · Question Routing</x:v>
      </x:c>
      <x:c r="D22" s="12" t="str">
        <x:v>ReasoningEpisode</x:v>
      </x:c>
      <x:c r="E22" s="12" t="str">
        <x:v>P0</x:v>
      </x:c>
      <x:c r="F22" s="12" t="str">
        <x:v>Not Started</x:v>
      </x:c>
      <x:c r="G22" s="12" t="str">
        <x:v>AI Lead</x:v>
      </x:c>
      <x:c r="H22" s="12" t="str">
        <x:v>AI/Backend</x:v>
      </x:c>
      <x:c r="I22" s="12" t="str">
        <x:v>E2-S6</x:v>
      </x:c>
      <x:c r="J22" s="12" t="str">
        <x:v>episode/context/version 연결 reasoning root</x:v>
      </x:c>
      <x:c r="K22" s="12" t="str">
        <x:v>Reasoning lineage 저장</x:v>
      </x:c>
      <x:c r="L22" s="12" t="str">
        <x:v>MVP AI Reasoning; S0-04B</x:v>
      </x:c>
      <x:c r="M22" s="12" t="str">
        <x:v>G-VS-05</x:v>
      </x:c>
      <x:c r="N22" s="14" t="n">
        <x:v>0</x:v>
      </x:c>
      <x:c r="O22" s="12" t="str">
        <x:v>No</x:v>
      </x:c>
      <x:c r="P22" s="12" t="str"/>
      <x:c r="Q22" s="12" t="str"/>
      <x:c r="R22" s="12" t="str"/>
    </x:row>
    <x:row r="23">
      <x:c r="A23" s="12" t="str">
        <x:v>E3-S2</x:v>
      </x:c>
      <x:c r="B23" s="12" t="str">
        <x:v>E3</x:v>
      </x:c>
      <x:c r="C23" s="12" t="str">
        <x:v>AI Reasoning · Question Routing</x:v>
      </x:c>
      <x:c r="D23" s="12" t="str">
        <x:v>Minimal Context Snapshot</x:v>
      </x:c>
      <x:c r="E23" s="12" t="str">
        <x:v>P0</x:v>
      </x:c>
      <x:c r="F23" s="12" t="str">
        <x:v>Not Started</x:v>
      </x:c>
      <x:c r="G23" s="12" t="str">
        <x:v>AI Lead</x:v>
      </x:c>
      <x:c r="H23" s="12" t="str">
        <x:v>AI/Privacy</x:v>
      </x:c>
      <x:c r="I23" s="12" t="str">
        <x:v>E3-S1</x:v>
      </x:c>
      <x:c r="J23" s="12" t="str">
        <x:v>structured minimal context snapshot</x:v>
      </x:c>
      <x:c r="K23" s="12" t="str">
        <x:v>raw 무제한 context 저장 금지</x:v>
      </x:c>
      <x:c r="L23" s="12" t="str">
        <x:v>MVP AI Reasoning; DGM-05</x:v>
      </x:c>
      <x:c r="M23" s="12" t="str">
        <x:v>G-VS-05; G-VS-08</x:v>
      </x:c>
      <x:c r="N23" s="14" t="n">
        <x:v>0</x:v>
      </x:c>
      <x:c r="O23" s="12" t="str">
        <x:v>No</x:v>
      </x:c>
      <x:c r="P23" s="12" t="str"/>
      <x:c r="Q23" s="12" t="str"/>
      <x:c r="R23" s="12" t="str"/>
    </x:row>
    <x:row r="24">
      <x:c r="A24" s="12" t="str">
        <x:v>E3-S3</x:v>
      </x:c>
      <x:c r="B24" s="12" t="str">
        <x:v>E3</x:v>
      </x:c>
      <x:c r="C24" s="12" t="str">
        <x:v>AI Reasoning · Question Routing</x:v>
      </x:c>
      <x:c r="D24" s="12" t="str">
        <x:v>RS transition</x:v>
      </x:c>
      <x:c r="E24" s="12" t="str">
        <x:v>P0</x:v>
      </x:c>
      <x:c r="F24" s="12" t="str">
        <x:v>Not Started</x:v>
      </x:c>
      <x:c r="G24" s="12" t="str">
        <x:v>AI Lead</x:v>
      </x:c>
      <x:c r="H24" s="12" t="str">
        <x:v>AI/Backend</x:v>
      </x:c>
      <x:c r="I24" s="12" t="str">
        <x:v>E3-S1</x:v>
      </x:c>
      <x:c r="J24" s="12" t="str">
        <x:v>RS-00~RS-10 transition lineage</x:v>
      </x:c>
      <x:c r="K24" s="12" t="str">
        <x:v>state transition 재현 가능</x:v>
      </x:c>
      <x:c r="L24" s="12" t="str">
        <x:v>MVP AI Reasoning</x:v>
      </x:c>
      <x:c r="M24" s="12" t="str">
        <x:v>G-VS-05</x:v>
      </x:c>
      <x:c r="N24" s="14" t="n">
        <x:v>0</x:v>
      </x:c>
      <x:c r="O24" s="12" t="str">
        <x:v>No</x:v>
      </x:c>
      <x:c r="P24" s="12" t="str"/>
      <x:c r="Q24" s="12" t="str"/>
      <x:c r="R24" s="12" t="str"/>
    </x:row>
    <x:row r="25">
      <x:c r="A25" s="12" t="str">
        <x:v>E3-S4</x:v>
      </x:c>
      <x:c r="B25" s="12" t="str">
        <x:v>E3</x:v>
      </x:c>
      <x:c r="C25" s="12" t="str">
        <x:v>AI Reasoning · Question Routing</x:v>
      </x:c>
      <x:c r="D25" s="12" t="str">
        <x:v>Question registry</x:v>
      </x:c>
      <x:c r="E25" s="12" t="str">
        <x:v>P0</x:v>
      </x:c>
      <x:c r="F25" s="12" t="str">
        <x:v>Not Started</x:v>
      </x:c>
      <x:c r="G25" s="12" t="str">
        <x:v>AI Lead</x:v>
      </x:c>
      <x:c r="H25" s="12" t="str">
        <x:v>AI/Data</x:v>
      </x:c>
      <x:c r="I25" s="12" t="str">
        <x:v>E0-S4</x:v>
      </x:c>
      <x:c r="J25" s="12" t="str">
        <x:v>question_id/version/registry/ontology version</x:v>
      </x:c>
      <x:c r="K25" s="12" t="str">
        <x:v>질문 version immutable lineage</x:v>
      </x:c>
      <x:c r="L25" s="12" t="str">
        <x:v>DGM-03</x:v>
      </x:c>
      <x:c r="M25" s="12" t="str">
        <x:v>G-VS-05</x:v>
      </x:c>
      <x:c r="N25" s="14" t="n">
        <x:v>0</x:v>
      </x:c>
      <x:c r="O25" s="12" t="str">
        <x:v>No</x:v>
      </x:c>
      <x:c r="P25" s="12" t="str"/>
      <x:c r="Q25" s="12" t="str"/>
      <x:c r="R25" s="12" t="str"/>
    </x:row>
    <x:row r="26">
      <x:c r="A26" s="12" t="str">
        <x:v>E3-S5</x:v>
      </x:c>
      <x:c r="B26" s="12" t="str">
        <x:v>E3</x:v>
      </x:c>
      <x:c r="C26" s="12" t="str">
        <x:v>AI Reasoning · Question Routing</x:v>
      </x:c>
      <x:c r="D26" s="12" t="str">
        <x:v>Routing decision</x:v>
      </x:c>
      <x:c r="E26" s="12" t="str">
        <x:v>P0</x:v>
      </x:c>
      <x:c r="F26" s="12" t="str">
        <x:v>Not Started</x:v>
      </x:c>
      <x:c r="G26" s="12" t="str">
        <x:v>AI Lead</x:v>
      </x:c>
      <x:c r="H26" s="12" t="str">
        <x:v>AI/Backend</x:v>
      </x:c>
      <x:c r="I26" s="12" t="str">
        <x:v>E3-S2; E3-S4</x:v>
      </x:c>
      <x:c r="J26" s="12" t="str">
        <x:v>질문 선택 이유와 routing decision 저장</x:v>
      </x:c>
      <x:c r="K26" s="12" t="str">
        <x:v>routing reason 추적</x:v>
      </x:c>
      <x:c r="L26" s="12" t="str">
        <x:v>DGM-03; S0-05B</x:v>
      </x:c>
      <x:c r="M26" s="12" t="str">
        <x:v>G-VS-05</x:v>
      </x:c>
      <x:c r="N26" s="14" t="n">
        <x:v>0</x:v>
      </x:c>
      <x:c r="O26" s="12" t="str">
        <x:v>No</x:v>
      </x:c>
      <x:c r="P26" s="12" t="str"/>
      <x:c r="Q26" s="12" t="str"/>
      <x:c r="R26" s="12" t="str"/>
    </x:row>
    <x:row r="27">
      <x:c r="A27" s="12" t="str">
        <x:v>E3-S6</x:v>
      </x:c>
      <x:c r="B27" s="12" t="str">
        <x:v>E3</x:v>
      </x:c>
      <x:c r="C27" s="12" t="str">
        <x:v>AI Reasoning · Question Routing</x:v>
      </x:c>
      <x:c r="D27" s="12" t="str">
        <x:v>Question instance/response</x:v>
      </x:c>
      <x:c r="E27" s="12" t="str">
        <x:v>P0</x:v>
      </x:c>
      <x:c r="F27" s="12" t="str">
        <x:v>Not Started</x:v>
      </x:c>
      <x:c r="G27" s="12" t="str">
        <x:v>Frontend Lead</x:v>
      </x:c>
      <x:c r="H27" s="12" t="str">
        <x:v>Frontend/API</x:v>
      </x:c>
      <x:c r="I27" s="12" t="str">
        <x:v>E3-S5</x:v>
      </x:c>
      <x:c r="J27" s="12" t="str">
        <x:v>1~3 질문 + answer states</x:v>
      </x:c>
      <x:c r="K27" s="12" t="str">
        <x:v>ANSWERED/SKIPPED/DECLINED/ABANDONED 보존</x:v>
      </x:c>
      <x:c r="L27" s="12" t="str">
        <x:v>DGM-03</x:v>
      </x:c>
      <x:c r="M27" s="12" t="str">
        <x:v>G-VS-05</x:v>
      </x:c>
      <x:c r="N27" s="14" t="n">
        <x:v>0</x:v>
      </x:c>
      <x:c r="O27" s="12" t="str">
        <x:v>No</x:v>
      </x:c>
      <x:c r="P27" s="12" t="str"/>
      <x:c r="Q27" s="12" t="str"/>
      <x:c r="R27" s="12" t="str"/>
    </x:row>
    <x:row r="28">
      <x:c r="A28" s="12" t="str">
        <x:v>E3-S7</x:v>
      </x:c>
      <x:c r="B28" s="12" t="str">
        <x:v>E3</x:v>
      </x:c>
      <x:c r="C28" s="12" t="str">
        <x:v>AI Reasoning · Question Routing</x:v>
      </x:c>
      <x:c r="D28" s="12" t="str">
        <x:v>Stop/Handoff</x:v>
      </x:c>
      <x:c r="E28" s="12" t="str">
        <x:v>P0</x:v>
      </x:c>
      <x:c r="F28" s="12" t="str">
        <x:v>Not Started</x:v>
      </x:c>
      <x:c r="G28" s="12" t="str">
        <x:v>AI Lead</x:v>
      </x:c>
      <x:c r="H28" s="12" t="str">
        <x:v>AI/Safety</x:v>
      </x:c>
      <x:c r="I28" s="12" t="str">
        <x:v>E3-S3</x:v>
      </x:c>
      <x:c r="J28" s="12" t="str">
        <x:v>AI stop/human handoff state</x:v>
      </x:c>
      <x:c r="K28" s="12" t="str">
        <x:v>중단/인계 lineage</x:v>
      </x:c>
      <x:c r="L28" s="12" t="str">
        <x:v>MVP AI Reasoning; S0-05B</x:v>
      </x:c>
      <x:c r="M28" s="12" t="str">
        <x:v>G-VS-05; G-VS-11</x:v>
      </x:c>
      <x:c r="N28" s="14" t="n">
        <x:v>0</x:v>
      </x:c>
      <x:c r="O28" s="12" t="str">
        <x:v>No</x:v>
      </x:c>
      <x:c r="P28" s="12" t="str"/>
      <x:c r="Q28" s="12" t="str"/>
      <x:c r="R28" s="12" t="str"/>
    </x:row>
    <x:row r="29">
      <x:c r="A29" s="12" t="str">
        <x:v>E3-S8</x:v>
      </x:c>
      <x:c r="B29" s="12" t="str">
        <x:v>E3</x:v>
      </x:c>
      <x:c r="C29" s="12" t="str">
        <x:v>AI Reasoning · Question Routing</x:v>
      </x:c>
      <x:c r="D29" s="12" t="str">
        <x:v>AI boundary</x:v>
      </x:c>
      <x:c r="E29" s="12" t="str">
        <x:v>P0</x:v>
      </x:c>
      <x:c r="F29" s="12" t="str">
        <x:v>Not Started</x:v>
      </x:c>
      <x:c r="G29" s="12" t="str">
        <x:v>AI Lead</x:v>
      </x:c>
      <x:c r="H29" s="12" t="str">
        <x:v>AI/QA</x:v>
      </x:c>
      <x:c r="I29" s="12" t="str">
        <x:v>E3-S6</x:v>
      </x:c>
      <x:c r="J29" s="12" t="str">
        <x:v>금지된 단일 영성판정 output guard</x:v>
      </x:c>
      <x:c r="K29" s="12" t="str">
        <x:v>영적 수준/성령 점수/옛사람 점수 반환 없음</x:v>
      </x:c>
      <x:c r="L29" s="12" t="str">
        <x:v>S0-05B; GM-TEST</x:v>
      </x:c>
      <x:c r="M29" s="12" t="str">
        <x:v>G-VS-05</x:v>
      </x:c>
      <x:c r="N29" s="14" t="n">
        <x:v>0</x:v>
      </x:c>
      <x:c r="O29" s="12" t="str">
        <x:v>No</x:v>
      </x:c>
      <x:c r="P29" s="12" t="str"/>
      <x:c r="Q29" s="12" t="str"/>
      <x:c r="R29" s="12" t="str"/>
    </x:row>
    <x:row r="30">
      <x:c r="A30" s="12" t="str">
        <x:v>E4-S1</x:v>
      </x:c>
      <x:c r="B30" s="12" t="str">
        <x:v>E4</x:v>
      </x:c>
      <x:c r="C30" s="12" t="str">
        <x:v>Candidate · Confirmation · Evidence</x:v>
      </x:c>
      <x:c r="D30" s="12" t="str">
        <x:v>SignalCandidate</x:v>
      </x:c>
      <x:c r="E30" s="12" t="str">
        <x:v>P0</x:v>
      </x:c>
      <x:c r="F30" s="12" t="str">
        <x:v>Not Started</x:v>
      </x:c>
      <x:c r="G30" s="12" t="str">
        <x:v>Measurement Lead</x:v>
      </x:c>
      <x:c r="H30" s="12" t="str">
        <x:v>Backend/AI</x:v>
      </x:c>
      <x:c r="I30" s="12" t="str">
        <x:v>E3-S6</x:v>
      </x:c>
      <x:c r="J30" s="12" t="str">
        <x:v>candidate + provenance</x:v>
      </x:c>
      <x:c r="K30" s="12" t="str">
        <x:v>model/prompt/registry lineage 저장</x:v>
      </x:c>
      <x:c r="L30" s="12" t="str">
        <x:v>DGM-01; S0-04B</x:v>
      </x:c>
      <x:c r="M30" s="12" t="str">
        <x:v>G-VS-06</x:v>
      </x:c>
      <x:c r="N30" s="14" t="n">
        <x:v>0</x:v>
      </x:c>
      <x:c r="O30" s="12" t="str">
        <x:v>No</x:v>
      </x:c>
      <x:c r="P30" s="12" t="str"/>
      <x:c r="Q30" s="12" t="str"/>
      <x:c r="R30" s="12" t="str"/>
    </x:row>
    <x:row r="31">
      <x:c r="A31" s="12" t="str">
        <x:v>E4-S2</x:v>
      </x:c>
      <x:c r="B31" s="12" t="str">
        <x:v>E4</x:v>
      </x:c>
      <x:c r="C31" s="12" t="str">
        <x:v>Candidate · Confirmation · Evidence</x:v>
      </x:c>
      <x:c r="D31" s="12" t="str">
        <x:v>HumanConfirmation</x:v>
      </x:c>
      <x:c r="E31" s="12" t="str">
        <x:v>P0</x:v>
      </x:c>
      <x:c r="F31" s="12" t="str">
        <x:v>Not Started</x:v>
      </x:c>
      <x:c r="G31" s="12" t="str">
        <x:v>Measurement Lead</x:v>
      </x:c>
      <x:c r="H31" s="12" t="str">
        <x:v>Frontend/Backend</x:v>
      </x:c>
      <x:c r="I31" s="12" t="str">
        <x:v>E4-S1</x:v>
      </x:c>
      <x:c r="J31" s="12" t="str">
        <x:v>CONFIRMED/PARTIAL/UNCERTAIN/REJECTED</x:v>
      </x:c>
      <x:c r="K31" s="12" t="str">
        <x:v>사람 확인 상태 보존</x:v>
      </x:c>
      <x:c r="L31" s="12" t="str">
        <x:v>DGM-01; S0-05B</x:v>
      </x:c>
      <x:c r="M31" s="12" t="str">
        <x:v>G-VS-06</x:v>
      </x:c>
      <x:c r="N31" s="14" t="n">
        <x:v>0</x:v>
      </x:c>
      <x:c r="O31" s="12" t="str">
        <x:v>No</x:v>
      </x:c>
      <x:c r="P31" s="12" t="str"/>
      <x:c r="Q31" s="12" t="str"/>
      <x:c r="R31" s="12" t="str"/>
    </x:row>
    <x:row r="32">
      <x:c r="A32" s="12" t="str">
        <x:v>E4-S3</x:v>
      </x:c>
      <x:c r="B32" s="12" t="str">
        <x:v>E4</x:v>
      </x:c>
      <x:c r="C32" s="12" t="str">
        <x:v>Candidate · Confirmation · Evidence</x:v>
      </x:c>
      <x:c r="D32" s="12" t="str">
        <x:v>Correction lineage</x:v>
      </x:c>
      <x:c r="E32" s="12" t="str">
        <x:v>P0</x:v>
      </x:c>
      <x:c r="F32" s="12" t="str">
        <x:v>Not Started</x:v>
      </x:c>
      <x:c r="G32" s="12" t="str">
        <x:v>Measurement Lead</x:v>
      </x:c>
      <x:c r="H32" s="12" t="str">
        <x:v>Backend/DB</x:v>
      </x:c>
      <x:c r="I32" s="12" t="str">
        <x:v>E4-S2</x:v>
      </x:c>
      <x:c r="J32" s="12" t="str">
        <x:v>corrected_signal_id/meaning</x:v>
      </x:c>
      <x:c r="K32" s="12" t="str">
        <x:v>수정 전후 lineage 보존</x:v>
      </x:c>
      <x:c r="L32" s="12" t="str">
        <x:v>DGM-01</x:v>
      </x:c>
      <x:c r="M32" s="12" t="str">
        <x:v>G-VS-06</x:v>
      </x:c>
      <x:c r="N32" s="14" t="n">
        <x:v>0</x:v>
      </x:c>
      <x:c r="O32" s="12" t="str">
        <x:v>No</x:v>
      </x:c>
      <x:c r="P32" s="12" t="str"/>
      <x:c r="Q32" s="12" t="str"/>
      <x:c r="R32" s="12" t="str"/>
    </x:row>
    <x:row r="33">
      <x:c r="A33" s="12" t="str">
        <x:v>E4-S4</x:v>
      </x:c>
      <x:c r="B33" s="12" t="str">
        <x:v>E4</x:v>
      </x:c>
      <x:c r="C33" s="12" t="str">
        <x:v>Candidate · Confirmation · Evidence</x:v>
      </x:c>
      <x:c r="D33" s="12" t="str">
        <x:v>Evidence gate</x:v>
      </x:c>
      <x:c r="E33" s="12" t="str">
        <x:v>P0</x:v>
      </x:c>
      <x:c r="F33" s="12" t="str">
        <x:v>Not Started</x:v>
      </x:c>
      <x:c r="G33" s="12" t="str">
        <x:v>Backend Lead</x:v>
      </x:c>
      <x:c r="H33" s="12" t="str">
        <x:v>Backend/QA</x:v>
      </x:c>
      <x:c r="I33" s="12" t="str">
        <x:v>E4-S2</x:v>
      </x:c>
      <x:c r="J33" s="12" t="str">
        <x:v>eligible evidence creation policy</x:v>
      </x:c>
      <x:c r="K33" s="12" t="str">
        <x:v>UNCERTAIN/REJECTED → eligible evidence 0</x:v>
      </x:c>
      <x:c r="L33" s="12" t="str">
        <x:v>GM-TEST; S0-05B</x:v>
      </x:c>
      <x:c r="M33" s="12" t="str">
        <x:v>G-VS-06</x:v>
      </x:c>
      <x:c r="N33" s="14" t="n">
        <x:v>0</x:v>
      </x:c>
      <x:c r="O33" s="12" t="str">
        <x:v>No</x:v>
      </x:c>
      <x:c r="P33" s="12" t="str"/>
      <x:c r="Q33" s="12" t="str"/>
      <x:c r="R33" s="12" t="str"/>
    </x:row>
    <x:row r="34">
      <x:c r="A34" s="12" t="str">
        <x:v>E4-S5</x:v>
      </x:c>
      <x:c r="B34" s="12" t="str">
        <x:v>E4</x:v>
      </x:c>
      <x:c r="C34" s="12" t="str">
        <x:v>Candidate · Confirmation · Evidence</x:v>
      </x:c>
      <x:c r="D34" s="12" t="str">
        <x:v>PARTIAL policy</x:v>
      </x:c>
      <x:c r="E34" s="12" t="str">
        <x:v>P0</x:v>
      </x:c>
      <x:c r="F34" s="12" t="str">
        <x:v>Blocked</x:v>
      </x:c>
      <x:c r="G34" s="12" t="str">
        <x:v>Measurement Lead</x:v>
      </x:c>
      <x:c r="H34" s="12" t="str">
        <x:v>Policy/Backend</x:v>
      </x:c>
      <x:c r="I34" s="12" t="str">
        <x:v>E4-S2</x:v>
      </x:c>
      <x:c r="J34" s="12" t="str">
        <x:v>PARTIAL eligibility policy-driven</x:v>
      </x:c>
      <x:c r="K34" s="12" t="str">
        <x:v>hardcode 금지; policy_version 필수</x:v>
      </x:c>
      <x:c r="L34" s="12" t="str">
        <x:v>DGM-01; GM-DICT</x:v>
      </x:c>
      <x:c r="M34" s="12" t="str">
        <x:v>G-VS-06</x:v>
      </x:c>
      <x:c r="N34" s="14" t="n">
        <x:v>0</x:v>
      </x:c>
      <x:c r="O34" s="12" t="str">
        <x:v>No</x:v>
      </x:c>
      <x:c r="P34" s="12" t="str"/>
      <x:c r="Q34" s="12" t="str"/>
      <x:c r="R34" s="12" t="str"/>
    </x:row>
    <x:row r="35">
      <x:c r="A35" s="12" t="str">
        <x:v>E4-S6</x:v>
      </x:c>
      <x:c r="B35" s="12" t="str">
        <x:v>E4</x:v>
      </x:c>
      <x:c r="C35" s="12" t="str">
        <x:v>Candidate · Confirmation · Evidence</x:v>
      </x:c>
      <x:c r="D35" s="12" t="str">
        <x:v>Rerun safety</x:v>
      </x:c>
      <x:c r="E35" s="12" t="str">
        <x:v>P0</x:v>
      </x:c>
      <x:c r="F35" s="12" t="str">
        <x:v>Not Started</x:v>
      </x:c>
      <x:c r="G35" s="12" t="str">
        <x:v>AI Lead</x:v>
      </x:c>
      <x:c r="H35" s="12" t="str">
        <x:v>AI/Backend</x:v>
      </x:c>
      <x:c r="I35" s="12" t="str">
        <x:v>E4-S2</x:v>
      </x:c>
      <x:c r="J35" s="12" t="str">
        <x:v>AI rerun과 human decision 분리</x:v>
      </x:c>
      <x:c r="K35" s="12" t="str">
        <x:v>기존 confirmation overwrite 금지</x:v>
      </x:c>
      <x:c r="L35" s="12" t="str">
        <x:v>S0-04B</x:v>
      </x:c>
      <x:c r="M35" s="12" t="str">
        <x:v>G-VS-06</x:v>
      </x:c>
      <x:c r="N35" s="14" t="n">
        <x:v>0</x:v>
      </x:c>
      <x:c r="O35" s="12" t="str">
        <x:v>No</x:v>
      </x:c>
      <x:c r="P35" s="12" t="str"/>
      <x:c r="Q35" s="12" t="str"/>
      <x:c r="R35" s="12" t="str"/>
    </x:row>
    <x:row r="36">
      <x:c r="A36" s="12" t="str">
        <x:v>E4-S7</x:v>
      </x:c>
      <x:c r="B36" s="12" t="str">
        <x:v>E4</x:v>
      </x:c>
      <x:c r="C36" s="12" t="str">
        <x:v>Candidate · Confirmation · Evidence</x:v>
      </x:c>
      <x:c r="D36" s="12" t="str">
        <x:v>No spiritual total</x:v>
      </x:c>
      <x:c r="E36" s="12" t="str">
        <x:v>P0</x:v>
      </x:c>
      <x:c r="F36" s="12" t="str">
        <x:v>Not Started</x:v>
      </x:c>
      <x:c r="G36" s="12" t="str">
        <x:v>QA Lead</x:v>
      </x:c>
      <x:c r="H36" s="12" t="str">
        <x:v>Schema/API/UX</x:v>
      </x:c>
      <x:c r="I36" s="12" t="str">
        <x:v>E4-S4</x:v>
      </x:c>
      <x:c r="J36" s="12" t="str">
        <x:v>금지 필드/route 검증</x:v>
      </x:c>
      <x:c r="K36" s="12" t="str">
        <x:v>GS 합산 총점/개인순위 없음</x:v>
      </x:c>
      <x:c r="L36" s="12" t="str">
        <x:v>GM-TEST; S0-05B</x:v>
      </x:c>
      <x:c r="M36" s="12" t="str">
        <x:v>G-VS-06</x:v>
      </x:c>
      <x:c r="N36" s="14" t="n">
        <x:v>0</x:v>
      </x:c>
      <x:c r="O36" s="12" t="str">
        <x:v>No</x:v>
      </x:c>
      <x:c r="P36" s="12" t="str"/>
      <x:c r="Q36" s="12" t="str"/>
      <x:c r="R36" s="12" t="str"/>
    </x:row>
    <x:row r="37">
      <x:c r="A37" s="12" t="str">
        <x:v>E5-S1</x:v>
      </x:c>
      <x:c r="B37" s="12" t="str">
        <x:v>E5</x:v>
      </x:c>
      <x:c r="C37" s="12" t="str">
        <x:v>Practice · Outcome</x:v>
      </x:c>
      <x:c r="D37" s="12" t="str">
        <x:v>Practice state</x:v>
      </x:c>
      <x:c r="E37" s="12" t="str">
        <x:v>P0</x:v>
      </x:c>
      <x:c r="F37" s="12" t="str">
        <x:v>Not Started</x:v>
      </x:c>
      <x:c r="G37" s="12" t="str">
        <x:v>Backend Lead</x:v>
      </x:c>
      <x:c r="H37" s="12" t="str">
        <x:v>Backend/API</x:v>
      </x:c>
      <x:c r="I37" s="12" t="str">
        <x:v>E4-S4</x:v>
      </x:c>
      <x:c r="J37" s="12" t="str">
        <x:v>NONE/ATTEMPTED/COMPLETED/UNKNOWN</x:v>
      </x:c>
      <x:c r="K37" s="12" t="str">
        <x:v>상태 저장/전이</x:v>
      </x:c>
      <x:c r="L37" s="12" t="str">
        <x:v>S0-04B; S0-05B</x:v>
      </x:c>
      <x:c r="M37" s="12" t="str">
        <x:v>G-VS-07</x:v>
      </x:c>
      <x:c r="N37" s="14" t="n">
        <x:v>0</x:v>
      </x:c>
      <x:c r="O37" s="12" t="str">
        <x:v>No</x:v>
      </x:c>
      <x:c r="P37" s="12" t="str"/>
      <x:c r="Q37" s="12" t="str"/>
      <x:c r="R37" s="12" t="str"/>
    </x:row>
    <x:row r="38">
      <x:c r="A38" s="12" t="str">
        <x:v>E5-S2</x:v>
      </x:c>
      <x:c r="B38" s="12" t="str">
        <x:v>E5</x:v>
      </x:c>
      <x:c r="C38" s="12" t="str">
        <x:v>Practice · Outcome</x:v>
      </x:c>
      <x:c r="D38" s="12" t="str">
        <x:v>Opportunity state</x:v>
      </x:c>
      <x:c r="E38" s="12" t="str">
        <x:v>P0</x:v>
      </x:c>
      <x:c r="F38" s="12" t="str">
        <x:v>Not Started</x:v>
      </x:c>
      <x:c r="G38" s="12" t="str">
        <x:v>Measurement Lead</x:v>
      </x:c>
      <x:c r="H38" s="12" t="str">
        <x:v>Backend/DB</x:v>
      </x:c>
      <x:c r="I38" s="12" t="str">
        <x:v>E5-S1</x:v>
      </x:c>
      <x:c r="J38" s="12" t="str">
        <x:v>YES/NO/UNSURE/UNKNOWN 별도</x:v>
      </x:c>
      <x:c r="K38" s="12" t="str">
        <x:v>Outcome와 별도 저장</x:v>
      </x:c>
      <x:c r="L38" s="12" t="str">
        <x:v>GM-DICT</x:v>
      </x:c>
      <x:c r="M38" s="12" t="str">
        <x:v>G-VS-07</x:v>
      </x:c>
      <x:c r="N38" s="14" t="n">
        <x:v>0</x:v>
      </x:c>
      <x:c r="O38" s="12" t="str">
        <x:v>No</x:v>
      </x:c>
      <x:c r="P38" s="12" t="str"/>
      <x:c r="Q38" s="12" t="str"/>
      <x:c r="R38" s="12" t="str"/>
    </x:row>
    <x:row r="39">
      <x:c r="A39" s="12" t="str">
        <x:v>E5-S3</x:v>
      </x:c>
      <x:c r="B39" s="12" t="str">
        <x:v>E5</x:v>
      </x:c>
      <x:c r="C39" s="12" t="str">
        <x:v>Practice · Outcome</x:v>
      </x:c>
      <x:c r="D39" s="12" t="str">
        <x:v>Outcome direction</x:v>
      </x:c>
      <x:c r="E39" s="12" t="str">
        <x:v>P0</x:v>
      </x:c>
      <x:c r="F39" s="12" t="str">
        <x:v>Not Started</x:v>
      </x:c>
      <x:c r="G39" s="12" t="str">
        <x:v>Backend Lead</x:v>
      </x:c>
      <x:c r="H39" s="12" t="str">
        <x:v>Backend/API</x:v>
      </x:c>
      <x:c r="I39" s="12" t="str">
        <x:v>E5-S1</x:v>
      </x:c>
      <x:c r="J39" s="12" t="str">
        <x:v>IMPROVED/UNCHANGED/WORSENED/MIXED/UNKNOWN/NO_OPPORTUNITY</x:v>
      </x:c>
      <x:c r="K39" s="12" t="str">
        <x:v>typed outcome 보존</x:v>
      </x:c>
      <x:c r="L39" s="12" t="str">
        <x:v>GM-DICT; S0-05B</x:v>
      </x:c>
      <x:c r="M39" s="12" t="str">
        <x:v>G-VS-07</x:v>
      </x:c>
      <x:c r="N39" s="14" t="n">
        <x:v>0</x:v>
      </x:c>
      <x:c r="O39" s="12" t="str">
        <x:v>No</x:v>
      </x:c>
      <x:c r="P39" s="12" t="str"/>
      <x:c r="Q39" s="12" t="str"/>
      <x:c r="R39" s="12" t="str"/>
    </x:row>
    <x:row r="40">
      <x:c r="A40" s="12" t="str">
        <x:v>E5-S4</x:v>
      </x:c>
      <x:c r="B40" s="12" t="str">
        <x:v>E5</x:v>
      </x:c>
      <x:c r="C40" s="12" t="str">
        <x:v>Practice · Outcome</x:v>
      </x:c>
      <x:c r="D40" s="12" t="str">
        <x:v>Repair subtype</x:v>
      </x:c>
      <x:c r="E40" s="12" t="str">
        <x:v>P1</x:v>
      </x:c>
      <x:c r="F40" s="12" t="str">
        <x:v>Not Started</x:v>
      </x:c>
      <x:c r="G40" s="12" t="str">
        <x:v>Measurement Lead</x:v>
      </x:c>
      <x:c r="H40" s="12" t="str">
        <x:v>Backend/DB</x:v>
      </x:c>
      <x:c r="I40" s="12" t="str">
        <x:v>E5-S3</x:v>
      </x:c>
      <x:c r="J40" s="12" t="str">
        <x:v>용서/사과/관계수선/건강한 경계 subtype</x:v>
      </x:c>
      <x:c r="K40" s="12" t="str">
        <x:v>direction과 분리</x:v>
      </x:c>
      <x:c r="L40" s="12" t="str">
        <x:v>GM-DICT</x:v>
      </x:c>
      <x:c r="M40" s="12" t="str">
        <x:v>G-VS-07</x:v>
      </x:c>
      <x:c r="N40" s="14" t="n">
        <x:v>0</x:v>
      </x:c>
      <x:c r="O40" s="12" t="str">
        <x:v>No</x:v>
      </x:c>
      <x:c r="P40" s="12" t="str"/>
      <x:c r="Q40" s="12" t="str"/>
      <x:c r="R40" s="12" t="str"/>
    </x:row>
    <x:row r="41">
      <x:c r="A41" s="12" t="str">
        <x:v>E5-S5</x:v>
      </x:c>
      <x:c r="B41" s="12" t="str">
        <x:v>E5</x:v>
      </x:c>
      <x:c r="C41" s="12" t="str">
        <x:v>Practice · Outcome</x:v>
      </x:c>
      <x:c r="D41" s="12" t="str">
        <x:v>Practice≠Outcome invariant</x:v>
      </x:c>
      <x:c r="E41" s="12" t="str">
        <x:v>P0</x:v>
      </x:c>
      <x:c r="F41" s="12" t="str">
        <x:v>Not Started</x:v>
      </x:c>
      <x:c r="G41" s="12" t="str">
        <x:v>QA Lead</x:v>
      </x:c>
      <x:c r="H41" s="12" t="str">
        <x:v>QA/Backend</x:v>
      </x:c>
      <x:c r="I41" s="12" t="str">
        <x:v>E5-S3</x:v>
      </x:c>
      <x:c r="J41" s="12" t="str">
        <x:v>COMPLETED가 IMPROVED 자동생성하지 않음</x:v>
      </x:c>
      <x:c r="K41" s="12" t="str">
        <x:v>contract test PASS</x:v>
      </x:c>
      <x:c r="L41" s="12" t="str">
        <x:v>GM-TEST</x:v>
      </x:c>
      <x:c r="M41" s="12" t="str">
        <x:v>G-VS-07</x:v>
      </x:c>
      <x:c r="N41" s="14" t="n">
        <x:v>0</x:v>
      </x:c>
      <x:c r="O41" s="12" t="str">
        <x:v>No</x:v>
      </x:c>
      <x:c r="P41" s="12" t="str"/>
      <x:c r="Q41" s="12" t="str"/>
      <x:c r="R41" s="12" t="str"/>
    </x:row>
    <x:row r="42">
      <x:c r="A42" s="12" t="str">
        <x:v>E5-S6</x:v>
      </x:c>
      <x:c r="B42" s="12" t="str">
        <x:v>E5</x:v>
      </x:c>
      <x:c r="C42" s="12" t="str">
        <x:v>Practice · Outcome</x:v>
      </x:c>
      <x:c r="D42" s="12" t="str">
        <x:v>No Opportunity≠Failure</x:v>
      </x:c>
      <x:c r="E42" s="12" t="str">
        <x:v>P0</x:v>
      </x:c>
      <x:c r="F42" s="12" t="str">
        <x:v>Not Started</x:v>
      </x:c>
      <x:c r="G42" s="12" t="str">
        <x:v>QA Lead</x:v>
      </x:c>
      <x:c r="H42" s="12" t="str">
        <x:v>QA/Measurement</x:v>
      </x:c>
      <x:c r="I42" s="12" t="str">
        <x:v>E5-S2; E5-S3</x:v>
      </x:c>
      <x:c r="J42" s="12" t="str">
        <x:v>NO_OPPORTUNITY failure count 제외</x:v>
      </x:c>
      <x:c r="K42" s="12" t="str">
        <x:v>contract test PASS</x:v>
      </x:c>
      <x:c r="L42" s="12" t="str">
        <x:v>GM-TEST</x:v>
      </x:c>
      <x:c r="M42" s="12" t="str">
        <x:v>G-VS-07</x:v>
      </x:c>
      <x:c r="N42" s="14" t="n">
        <x:v>0</x:v>
      </x:c>
      <x:c r="O42" s="12" t="str">
        <x:v>No</x:v>
      </x:c>
      <x:c r="P42" s="12" t="str"/>
      <x:c r="Q42" s="12" t="str"/>
      <x:c r="R42" s="12" t="str"/>
    </x:row>
    <x:row r="43">
      <x:c r="A43" s="12" t="str">
        <x:v>E6-S1</x:v>
      </x:c>
      <x:c r="B43" s="12" t="str">
        <x:v>E6</x:v>
      </x:c>
      <x:c r="C43" s="12" t="str">
        <x:v>Survey · Dynamics · Personal Profile</x:v>
      </x:c>
      <x:c r="D43" s="12" t="str">
        <x:v>Instrument/item version</x:v>
      </x:c>
      <x:c r="E43" s="12" t="str">
        <x:v>P0</x:v>
      </x:c>
      <x:c r="F43" s="12" t="str">
        <x:v>Not Started</x:v>
      </x:c>
      <x:c r="G43" s="12" t="str">
        <x:v>Measurement Lead</x:v>
      </x:c>
      <x:c r="H43" s="12" t="str">
        <x:v>DB/API</x:v>
      </x:c>
      <x:c r="I43" s="12" t="str">
        <x:v>E0-S4</x:v>
      </x:c>
      <x:c r="J43" s="12" t="str">
        <x:v>administration 당시 immutable version</x:v>
      </x:c>
      <x:c r="K43" s="12" t="str">
        <x:v>version lineage 보존</x:v>
      </x:c>
      <x:c r="L43" s="12" t="str">
        <x:v>GM-SUR; S0-04B</x:v>
      </x:c>
      <x:c r="M43" s="12" t="str">
        <x:v>G-VS-07</x:v>
      </x:c>
      <x:c r="N43" s="14" t="n">
        <x:v>0</x:v>
      </x:c>
      <x:c r="O43" s="12" t="str">
        <x:v>No</x:v>
      </x:c>
      <x:c r="P43" s="12" t="str"/>
      <x:c r="Q43" s="12" t="str"/>
      <x:c r="R43" s="12" t="str"/>
    </x:row>
    <x:row r="44">
      <x:c r="A44" s="12" t="str">
        <x:v>E6-S2</x:v>
      </x:c>
      <x:c r="B44" s="12" t="str">
        <x:v>E6</x:v>
      </x:c>
      <x:c r="C44" s="12" t="str">
        <x:v>Survey · Dynamics · Personal Profile</x:v>
      </x:c>
      <x:c r="D44" s="12" t="str">
        <x:v>Response state</x:v>
      </x:c>
      <x:c r="E44" s="12" t="str">
        <x:v>P0</x:v>
      </x:c>
      <x:c r="F44" s="12" t="str">
        <x:v>Not Started</x:v>
      </x:c>
      <x:c r="G44" s="12" t="str">
        <x:v>Measurement Lead</x:v>
      </x:c>
      <x:c r="H44" s="12" t="str">
        <x:v>Frontend/Backend</x:v>
      </x:c>
      <x:c r="I44" s="12" t="str">
        <x:v>E6-S1</x:v>
      </x:c>
      <x:c r="J44" s="12" t="str">
        <x:v>ANSWERED/MISSING/DECLINED/NOT_SHARED/NOT_OBSERVABLE/UNKNOWN/NA</x:v>
      </x:c>
      <x:c r="K44" s="12" t="str">
        <x:v>상태 손실 없음</x:v>
      </x:c>
      <x:c r="L44" s="12" t="str">
        <x:v>GM-SUR; GM-DICT</x:v>
      </x:c>
      <x:c r="M44" s="12" t="str">
        <x:v>G-VS-07</x:v>
      </x:c>
      <x:c r="N44" s="14" t="n">
        <x:v>0</x:v>
      </x:c>
      <x:c r="O44" s="12" t="str">
        <x:v>No</x:v>
      </x:c>
      <x:c r="P44" s="12" t="str"/>
      <x:c r="Q44" s="12" t="str"/>
      <x:c r="R44" s="12" t="str"/>
    </x:row>
    <x:row r="45">
      <x:c r="A45" s="12" t="str">
        <x:v>E6-S3</x:v>
      </x:c>
      <x:c r="B45" s="12" t="str">
        <x:v>E6</x:v>
      </x:c>
      <x:c r="C45" s="12" t="str">
        <x:v>Survey · Dynamics · Personal Profile</x:v>
      </x:c>
      <x:c r="D45" s="12" t="str">
        <x:v>Missing≠0</x:v>
      </x:c>
      <x:c r="E45" s="12" t="str">
        <x:v>P0</x:v>
      </x:c>
      <x:c r="F45" s="12" t="str">
        <x:v>Not Started</x:v>
      </x:c>
      <x:c r="G45" s="12" t="str">
        <x:v>QA Lead</x:v>
      </x:c>
      <x:c r="H45" s="12" t="str">
        <x:v>QA/Measurement</x:v>
      </x:c>
      <x:c r="I45" s="12" t="str">
        <x:v>E6-S2</x:v>
      </x:c>
      <x:c r="J45" s="12" t="str">
        <x:v>비응답 numeric zero coercion 차단</x:v>
      </x:c>
      <x:c r="K45" s="12" t="str">
        <x:v>contract test PASS</x:v>
      </x:c>
      <x:c r="L45" s="12" t="str">
        <x:v>GM-TEST</x:v>
      </x:c>
      <x:c r="M45" s="12" t="str">
        <x:v>G-VS-07</x:v>
      </x:c>
      <x:c r="N45" s="14" t="n">
        <x:v>0</x:v>
      </x:c>
      <x:c r="O45" s="12" t="str">
        <x:v>No</x:v>
      </x:c>
      <x:c r="P45" s="12" t="str"/>
      <x:c r="Q45" s="12" t="str"/>
      <x:c r="R45" s="12" t="str"/>
    </x:row>
    <x:row r="46">
      <x:c r="A46" s="12" t="str">
        <x:v>E6-S4</x:v>
      </x:c>
      <x:c r="B46" s="12" t="str">
        <x:v>E6</x:v>
      </x:c>
      <x:c r="C46" s="12" t="str">
        <x:v>Survey · Dynamics · Personal Profile</x:v>
      </x:c>
      <x:c r="D46" s="12" t="str">
        <x:v>Dynamics recompute</x:v>
      </x:c>
      <x:c r="E46" s="12" t="str">
        <x:v>P0</x:v>
      </x:c>
      <x:c r="F46" s="12" t="str">
        <x:v>Not Started</x:v>
      </x:c>
      <x:c r="G46" s="12" t="str">
        <x:v>Data Lead</x:v>
      </x:c>
      <x:c r="H46" s="12" t="str">
        <x:v>Backend/Data</x:v>
      </x:c>
      <x:c r="I46" s="12" t="str">
        <x:v>E4-S4; E5-S3; E6-S2</x:v>
      </x:c>
      <x:c r="J46" s="12" t="str">
        <x:v>deterministic calculation_version</x:v>
      </x:c>
      <x:c r="K46" s="12" t="str">
        <x:v>same input+versions 재현</x:v>
      </x:c>
      <x:c r="L46" s="12" t="str">
        <x:v>DGM-02; GM-DICT</x:v>
      </x:c>
      <x:c r="M46" s="12" t="str">
        <x:v>G-VS-07; G-VS-10</x:v>
      </x:c>
      <x:c r="N46" s="14" t="n">
        <x:v>0</x:v>
      </x:c>
      <x:c r="O46" s="12" t="str">
        <x:v>No</x:v>
      </x:c>
      <x:c r="P46" s="12" t="str"/>
      <x:c r="Q46" s="12" t="str"/>
      <x:c r="R46" s="12" t="str"/>
    </x:row>
    <x:row r="47">
      <x:c r="A47" s="12" t="str">
        <x:v>E6-S5</x:v>
      </x:c>
      <x:c r="B47" s="12" t="str">
        <x:v>E6</x:v>
      </x:c>
      <x:c r="C47" s="12" t="str">
        <x:v>Survey · Dynamics · Personal Profile</x:v>
      </x:c>
      <x:c r="D47" s="12" t="str">
        <x:v>Personal profile</x:v>
      </x:c>
      <x:c r="E47" s="12" t="str">
        <x:v>P0</x:v>
      </x:c>
      <x:c r="F47" s="12" t="str">
        <x:v>Not Started</x:v>
      </x:c>
      <x:c r="G47" s="12" t="str">
        <x:v>Frontend Lead</x:v>
      </x:c>
      <x:c r="H47" s="12" t="str">
        <x:v>Frontend/API</x:v>
      </x:c>
      <x:c r="I47" s="12" t="str">
        <x:v>E6-S4</x:v>
      </x:c>
      <x:c r="J47" s="12" t="str">
        <x:v>typed states + coverage + limitations</x:v>
      </x:c>
      <x:c r="K47" s="12" t="str">
        <x:v>총점 없이 시간축 Profile</x:v>
      </x:c>
      <x:c r="L47" s="12" t="str">
        <x:v>DGM-02; S0-05B</x:v>
      </x:c>
      <x:c r="M47" s="12" t="str">
        <x:v>G-VS-07</x:v>
      </x:c>
      <x:c r="N47" s="14" t="n">
        <x:v>0</x:v>
      </x:c>
      <x:c r="O47" s="12" t="str">
        <x:v>No</x:v>
      </x:c>
      <x:c r="P47" s="12" t="str"/>
      <x:c r="Q47" s="12" t="str"/>
      <x:c r="R47" s="12" t="str"/>
    </x:row>
    <x:row r="48">
      <x:c r="A48" s="12" t="str">
        <x:v>E6-S6</x:v>
      </x:c>
      <x:c r="B48" s="12" t="str">
        <x:v>E6</x:v>
      </x:c>
      <x:c r="C48" s="12" t="str">
        <x:v>Survey · Dynamics · Personal Profile</x:v>
      </x:c>
      <x:c r="D48" s="12" t="str">
        <x:v>No ranking</x:v>
      </x:c>
      <x:c r="E48" s="12" t="str">
        <x:v>P0</x:v>
      </x:c>
      <x:c r="F48" s="12" t="str">
        <x:v>Not Started</x:v>
      </x:c>
      <x:c r="G48" s="12" t="str">
        <x:v>QA Lead</x:v>
      </x:c>
      <x:c r="H48" s="12" t="str">
        <x:v>QA/UX</x:v>
      </x:c>
      <x:c r="I48" s="12" t="str">
        <x:v>E6-S5</x:v>
      </x:c>
      <x:c r="J48" s="12" t="str">
        <x:v>금지 score/rank UI/API scan</x:v>
      </x:c>
      <x:c r="K48" s="12" t="str">
        <x:v>overall spiritual score/peer rank 없음</x:v>
      </x:c>
      <x:c r="L48" s="12" t="str">
        <x:v>GM-TEST</x:v>
      </x:c>
      <x:c r="M48" s="12" t="str">
        <x:v>G-VS-07</x:v>
      </x:c>
      <x:c r="N48" s="14" t="n">
        <x:v>0</x:v>
      </x:c>
      <x:c r="O48" s="12" t="str">
        <x:v>No</x:v>
      </x:c>
      <x:c r="P48" s="12" t="str"/>
      <x:c r="Q48" s="12" t="str"/>
      <x:c r="R48" s="12" t="str"/>
    </x:row>
    <x:row r="49">
      <x:c r="A49" s="12" t="str">
        <x:v>E6-S7</x:v>
      </x:c>
      <x:c r="B49" s="12" t="str">
        <x:v>E6</x:v>
      </x:c>
      <x:c r="C49" s="12" t="str">
        <x:v>Survey · Dynamics · Personal Profile</x:v>
      </x:c>
      <x:c r="D49" s="12" t="str">
        <x:v>Provisional thresholds</x:v>
      </x:c>
      <x:c r="E49" s="12" t="str">
        <x:v>P1</x:v>
      </x:c>
      <x:c r="F49" s="12" t="str">
        <x:v>Blocked</x:v>
      </x:c>
      <x:c r="G49" s="12" t="str">
        <x:v>Measurement Lead</x:v>
      </x:c>
      <x:c r="H49" s="12" t="str">
        <x:v>Policy/Data</x:v>
      </x:c>
      <x:c r="I49" s="12" t="str">
        <x:v>E6-S4</x:v>
      </x:c>
      <x:c r="J49" s="12" t="str">
        <x:v>미검증 cutoff registry/config</x:v>
      </x:c>
      <x:c r="K49" s="12" t="str">
        <x:v>code enum에 freeze 금지</x:v>
      </x:c>
      <x:c r="L49" s="12" t="str">
        <x:v>DGM-02; GM-VAL</x:v>
      </x:c>
      <x:c r="M49" s="12" t="str">
        <x:v>G-VS-07</x:v>
      </x:c>
      <x:c r="N49" s="14" t="n">
        <x:v>0</x:v>
      </x:c>
      <x:c r="O49" s="12" t="str">
        <x:v>No</x:v>
      </x:c>
      <x:c r="P49" s="12" t="str"/>
      <x:c r="Q49" s="12" t="str"/>
      <x:c r="R49" s="12" t="str"/>
    </x:row>
    <x:row r="50">
      <x:c r="A50" s="12" t="str">
        <x:v>E7-S1</x:v>
      </x:c>
      <x:c r="B50" s="12" t="str">
        <x:v>E7</x:v>
      </x:c>
      <x:c r="C50" s="12" t="str">
        <x:v>Coach Surface</x:v>
      </x:c>
      <x:c r="D50" s="12" t="str">
        <x:v>Assignment list</x:v>
      </x:c>
      <x:c r="E50" s="12" t="str">
        <x:v>P0</x:v>
      </x:c>
      <x:c r="F50" s="12" t="str">
        <x:v>Not Started</x:v>
      </x:c>
      <x:c r="G50" s="12" t="str">
        <x:v>Frontend Lead</x:v>
      </x:c>
      <x:c r="H50" s="12" t="str">
        <x:v>Frontend/API</x:v>
      </x:c>
      <x:c r="I50" s="12" t="str">
        <x:v>E1-S4</x:v>
      </x:c>
      <x:c r="J50" s="12" t="str">
        <x:v>/coach/assignments 최소 목록</x:v>
      </x:c>
      <x:c r="K50" s="12" t="str">
        <x:v>할당된 participant만</x:v>
      </x:c>
      <x:c r="L50" s="12" t="str">
        <x:v>S0-05B</x:v>
      </x:c>
      <x:c r="M50" s="12" t="str">
        <x:v>G-VS-08</x:v>
      </x:c>
      <x:c r="N50" s="14" t="n">
        <x:v>0</x:v>
      </x:c>
      <x:c r="O50" s="12" t="str">
        <x:v>No</x:v>
      </x:c>
      <x:c r="P50" s="12" t="str"/>
      <x:c r="Q50" s="12" t="str"/>
      <x:c r="R50" s="12" t="str"/>
    </x:row>
    <x:row r="51">
      <x:c r="A51" s="12" t="str">
        <x:v>E7-S2</x:v>
      </x:c>
      <x:c r="B51" s="12" t="str">
        <x:v>E7</x:v>
      </x:c>
      <x:c r="C51" s="12" t="str">
        <x:v>Coach Surface</x:v>
      </x:c>
      <x:c r="D51" s="12" t="str">
        <x:v>Approved participant brief</x:v>
      </x:c>
      <x:c r="E51" s="12" t="str">
        <x:v>P0</x:v>
      </x:c>
      <x:c r="F51" s="12" t="str">
        <x:v>Not Started</x:v>
      </x:c>
      <x:c r="G51" s="12" t="str">
        <x:v>Frontend Lead</x:v>
      </x:c>
      <x:c r="H51" s="12" t="str">
        <x:v>Frontend/API</x:v>
      </x:c>
      <x:c r="I51" s="12" t="str">
        <x:v>E1-S5; E4-S4</x:v>
      </x:c>
      <x:c r="J51" s="12" t="str">
        <x:v>scope-limited episode/evidence read</x:v>
      </x:c>
      <x:c r="K51" s="12" t="str">
        <x:v>Dual Gate 실패 시 403</x:v>
      </x:c>
      <x:c r="L51" s="12" t="str">
        <x:v>DGM-05; S0-05B</x:v>
      </x:c>
      <x:c r="M51" s="12" t="str">
        <x:v>G-VS-08</x:v>
      </x:c>
      <x:c r="N51" s="14" t="n">
        <x:v>0</x:v>
      </x:c>
      <x:c r="O51" s="12" t="str">
        <x:v>No</x:v>
      </x:c>
      <x:c r="P51" s="12" t="str"/>
      <x:c r="Q51" s="12" t="str"/>
      <x:c r="R51" s="12" t="str"/>
    </x:row>
    <x:row r="52">
      <x:c r="A52" s="12" t="str">
        <x:v>E7-S3</x:v>
      </x:c>
      <x:c r="B52" s="12" t="str">
        <x:v>E7</x:v>
      </x:c>
      <x:c r="C52" s="12" t="str">
        <x:v>Coach Surface</x:v>
      </x:c>
      <x:c r="D52" s="12" t="str">
        <x:v>Confirmation action</x:v>
      </x:c>
      <x:c r="E52" s="12" t="str">
        <x:v>P0</x:v>
      </x:c>
      <x:c r="F52" s="12" t="str">
        <x:v>Not Started</x:v>
      </x:c>
      <x:c r="G52" s="12" t="str">
        <x:v>Backend Lead</x:v>
      </x:c>
      <x:c r="H52" s="12" t="str">
        <x:v>Frontend/API</x:v>
      </x:c>
      <x:c r="I52" s="12" t="str">
        <x:v>E7-S2</x:v>
      </x:c>
      <x:c r="J52" s="12" t="str">
        <x:v>Coach human confirmation</x:v>
      </x:c>
      <x:c r="K52" s="12" t="str">
        <x:v>승인 scope 내에서만</x:v>
      </x:c>
      <x:c r="L52" s="12" t="str">
        <x:v>S0-05B</x:v>
      </x:c>
      <x:c r="M52" s="12" t="str">
        <x:v>G-VS-06; G-VS-08</x:v>
      </x:c>
      <x:c r="N52" s="14" t="n">
        <x:v>0</x:v>
      </x:c>
      <x:c r="O52" s="12" t="str">
        <x:v>No</x:v>
      </x:c>
      <x:c r="P52" s="12" t="str"/>
      <x:c r="Q52" s="12" t="str"/>
      <x:c r="R52" s="12" t="str"/>
    </x:row>
    <x:row r="53">
      <x:c r="A53" s="12" t="str">
        <x:v>E7-S4</x:v>
      </x:c>
      <x:c r="B53" s="12" t="str">
        <x:v>E7</x:v>
      </x:c>
      <x:c r="C53" s="12" t="str">
        <x:v>Coach Surface</x:v>
      </x:c>
      <x:c r="D53" s="12" t="str">
        <x:v>Handoff inbox</x:v>
      </x:c>
      <x:c r="E53" s="12" t="str">
        <x:v>P0</x:v>
      </x:c>
      <x:c r="F53" s="12" t="str">
        <x:v>Not Started</x:v>
      </x:c>
      <x:c r="G53" s="12" t="str">
        <x:v>Frontend Lead</x:v>
      </x:c>
      <x:c r="H53" s="12" t="str">
        <x:v>Frontend/API</x:v>
      </x:c>
      <x:c r="I53" s="12" t="str">
        <x:v>E3-S7; E7-S2</x:v>
      </x:c>
      <x:c r="J53" s="12" t="str">
        <x:v>handoff accept workflow</x:v>
      </x:c>
      <x:c r="K53" s="12" t="str">
        <x:v>AI handoff lineage 연결</x:v>
      </x:c>
      <x:c r="L53" s="12" t="str">
        <x:v>S0-05B</x:v>
      </x:c>
      <x:c r="M53" s="12" t="str">
        <x:v>G-VS-05; G-VS-08</x:v>
      </x:c>
      <x:c r="N53" s="14" t="n">
        <x:v>0</x:v>
      </x:c>
      <x:c r="O53" s="12" t="str">
        <x:v>No</x:v>
      </x:c>
      <x:c r="P53" s="12" t="str"/>
      <x:c r="Q53" s="12" t="str"/>
      <x:c r="R53" s="12" t="str"/>
    </x:row>
    <x:row r="54">
      <x:c r="A54" s="12" t="str">
        <x:v>E7-S5</x:v>
      </x:c>
      <x:c r="B54" s="12" t="str">
        <x:v>E7</x:v>
      </x:c>
      <x:c r="C54" s="12" t="str">
        <x:v>Coach Surface</x:v>
      </x:c>
      <x:c r="D54" s="12" t="str">
        <x:v>Privacy cue</x:v>
      </x:c>
      <x:c r="E54" s="12" t="str">
        <x:v>P1</x:v>
      </x:c>
      <x:c r="F54" s="12" t="str">
        <x:v>Not Started</x:v>
      </x:c>
      <x:c r="G54" s="12" t="str">
        <x:v>UX Lead</x:v>
      </x:c>
      <x:c r="H54" s="12" t="str">
        <x:v>Frontend/UX</x:v>
      </x:c>
      <x:c r="I54" s="12" t="str">
        <x:v>E7-S2</x:v>
      </x:c>
      <x:c r="J54" s="12" t="str">
        <x:v>공유 범위/근거 UI 표시</x:v>
      </x:c>
      <x:c r="K54" s="12" t="str">
        <x:v>Coach가 권한을 추정하지 않음</x:v>
      </x:c>
      <x:c r="L54" s="12" t="str">
        <x:v>DGM-05</x:v>
      </x:c>
      <x:c r="M54" s="12" t="str">
        <x:v>G-VS-08</x:v>
      </x:c>
      <x:c r="N54" s="14" t="n">
        <x:v>0</x:v>
      </x:c>
      <x:c r="O54" s="12" t="str">
        <x:v>No</x:v>
      </x:c>
      <x:c r="P54" s="12" t="str"/>
      <x:c r="Q54" s="12" t="str"/>
      <x:c r="R54" s="12" t="str"/>
    </x:row>
    <x:row r="55">
      <x:c r="A55" s="12" t="str">
        <x:v>E8-S1</x:v>
      </x:c>
      <x:c r="B55" s="12" t="str">
        <x:v>E8</x:v>
      </x:c>
      <x:c r="C55" s="12" t="str">
        <x:v>Community · Pastor-safe</x:v>
      </x:c>
      <x:c r="D55" s="12" t="str">
        <x:v>Aggregation worker</x:v>
      </x:c>
      <x:c r="E55" s="12" t="str">
        <x:v>P0</x:v>
      </x:c>
      <x:c r="F55" s="12" t="str">
        <x:v>Not Started</x:v>
      </x:c>
      <x:c r="G55" s="12" t="str">
        <x:v>Data Lead</x:v>
      </x:c>
      <x:c r="H55" s="12" t="str">
        <x:v>Backend/Data</x:v>
      </x:c>
      <x:c r="I55" s="12" t="str">
        <x:v>E6-S4</x:v>
      </x:c>
      <x:c r="J55" s="12" t="str">
        <x:v>eligible structured data만 집계</x:v>
      </x:c>
      <x:c r="K55" s="12" t="str">
        <x:v>raw/personal narrative 미사용</x:v>
      </x:c>
      <x:c r="L55" s="12" t="str">
        <x:v>GM-AGG; GM-COM</x:v>
      </x:c>
      <x:c r="M55" s="12" t="str">
        <x:v>G-VS-09</x:v>
      </x:c>
      <x:c r="N55" s="14" t="n">
        <x:v>0</x:v>
      </x:c>
      <x:c r="O55" s="12" t="str">
        <x:v>No</x:v>
      </x:c>
      <x:c r="P55" s="12" t="str"/>
      <x:c r="Q55" s="12" t="str"/>
      <x:c r="R55" s="12" t="str"/>
    </x:row>
    <x:row r="56">
      <x:c r="A56" s="12" t="str">
        <x:v>E8-S2</x:v>
      </x:c>
      <x:c r="B56" s="12" t="str">
        <x:v>E8</x:v>
      </x:c>
      <x:c r="C56" s="12" t="str">
        <x:v>Community · Pastor-safe</x:v>
      </x:c>
      <x:c r="D56" s="12" t="str">
        <x:v>Minimum cohort policy</x:v>
      </x:c>
      <x:c r="E56" s="12" t="str">
        <x:v>P0</x:v>
      </x:c>
      <x:c r="F56" s="12" t="str">
        <x:v>Blocked</x:v>
      </x:c>
      <x:c r="G56" s="12" t="str">
        <x:v>Privacy Lead</x:v>
      </x:c>
      <x:c r="H56" s="12" t="str">
        <x:v>Policy/Data</x:v>
      </x:c>
      <x:c r="I56" s="12" t="str">
        <x:v>E8-S1</x:v>
      </x:c>
      <x:c r="J56" s="12" t="str">
        <x:v>threshold 미달 suppression</x:v>
      </x:c>
      <x:c r="K56" s="12" t="str">
        <x:v>미달을 0으로 표시하지 않음</x:v>
      </x:c>
      <x:c r="L56" s="12" t="str">
        <x:v>GM-AGG; DGM-05</x:v>
      </x:c>
      <x:c r="M56" s="12" t="str">
        <x:v>G-VS-09</x:v>
      </x:c>
      <x:c r="N56" s="14" t="n">
        <x:v>0</x:v>
      </x:c>
      <x:c r="O56" s="12" t="str">
        <x:v>No</x:v>
      </x:c>
      <x:c r="P56" s="12" t="str"/>
      <x:c r="Q56" s="12" t="str"/>
      <x:c r="R56" s="12" t="str"/>
    </x:row>
    <x:row r="57">
      <x:c r="A57" s="12" t="str">
        <x:v>E8-S3</x:v>
      </x:c>
      <x:c r="B57" s="12" t="str">
        <x:v>E8</x:v>
      </x:c>
      <x:c r="C57" s="12" t="str">
        <x:v>Community · Pastor-safe</x:v>
      </x:c>
      <x:c r="D57" s="12" t="str">
        <x:v>Secondary suppression</x:v>
      </x:c>
      <x:c r="E57" s="12" t="str">
        <x:v>P0</x:v>
      </x:c>
      <x:c r="F57" s="12" t="str">
        <x:v>Not Started</x:v>
      </x:c>
      <x:c r="G57" s="12" t="str">
        <x:v>Privacy Lead</x:v>
      </x:c>
      <x:c r="H57" s="12" t="str">
        <x:v>Data/Security</x:v>
      </x:c>
      <x:c r="I57" s="12" t="str">
        <x:v>E8-S2</x:v>
      </x:c>
      <x:c r="J57" s="12" t="str">
        <x:v>difference attack 보호</x:v>
      </x:c>
      <x:c r="K57" s="12" t="str">
        <x:v>희소 cell 역산 차단</x:v>
      </x:c>
      <x:c r="L57" s="12" t="str">
        <x:v>GM-AGG; GM-TEST</x:v>
      </x:c>
      <x:c r="M57" s="12" t="str">
        <x:v>G-VS-09</x:v>
      </x:c>
      <x:c r="N57" s="14" t="n">
        <x:v>0</x:v>
      </x:c>
      <x:c r="O57" s="12" t="str">
        <x:v>No</x:v>
      </x:c>
      <x:c r="P57" s="12" t="str"/>
      <x:c r="Q57" s="12" t="str"/>
      <x:c r="R57" s="12" t="str"/>
    </x:row>
    <x:row r="58">
      <x:c r="A58" s="12" t="str">
        <x:v>E8-S4</x:v>
      </x:c>
      <x:c r="B58" s="12" t="str">
        <x:v>E8</x:v>
      </x:c>
      <x:c r="C58" s="12" t="str">
        <x:v>Community · Pastor-safe</x:v>
      </x:c>
      <x:c r="D58" s="12" t="str">
        <x:v>Community Profile</x:v>
      </x:c>
      <x:c r="E58" s="12" t="str">
        <x:v>P0</x:v>
      </x:c>
      <x:c r="F58" s="12" t="str">
        <x:v>Not Started</x:v>
      </x:c>
      <x:c r="G58" s="12" t="str">
        <x:v>Data Lead</x:v>
      </x:c>
      <x:c r="H58" s="12" t="str">
        <x:v>Backend/API</x:v>
      </x:c>
      <x:c r="I58" s="12" t="str">
        <x:v>E8-S1; E8-S3</x:v>
      </x:c>
      <x:c r="J58" s="12" t="str">
        <x:v>typed state+coverage+limitations+versions</x:v>
      </x:c>
      <x:c r="K58" s="12" t="str">
        <x:v>aggregate profile 재현 가능</x:v>
      </x:c>
      <x:c r="L58" s="12" t="str">
        <x:v>GM-COM; S0-05B</x:v>
      </x:c>
      <x:c r="M58" s="12" t="str">
        <x:v>G-VS-09</x:v>
      </x:c>
      <x:c r="N58" s="14" t="n">
        <x:v>0</x:v>
      </x:c>
      <x:c r="O58" s="12" t="str">
        <x:v>No</x:v>
      </x:c>
      <x:c r="P58" s="12" t="str"/>
      <x:c r="Q58" s="12" t="str"/>
      <x:c r="R58" s="12" t="str"/>
    </x:row>
    <x:row r="59">
      <x:c r="A59" s="12" t="str">
        <x:v>E8-S5</x:v>
      </x:c>
      <x:c r="B59" s="12" t="str">
        <x:v>E8</x:v>
      </x:c>
      <x:c r="C59" s="12" t="str">
        <x:v>Community · Pastor-safe</x:v>
      </x:c>
      <x:c r="D59" s="12" t="str">
        <x:v>Pastor API</x:v>
      </x:c>
      <x:c r="E59" s="12" t="str">
        <x:v>P0</x:v>
      </x:c>
      <x:c r="F59" s="12" t="str">
        <x:v>Not Started</x:v>
      </x:c>
      <x:c r="G59" s="12" t="str">
        <x:v>API Lead</x:v>
      </x:c>
      <x:c r="H59" s="12" t="str">
        <x:v>API</x:v>
      </x:c>
      <x:c r="I59" s="12" t="str">
        <x:v>E8-S4</x:v>
      </x:c>
      <x:c r="J59" s="12" t="str">
        <x:v>aggregate-only read model</x:v>
      </x:c>
      <x:c r="K59" s="12" t="str">
        <x:v>개인 resource 조회 후 후처리 금지</x:v>
      </x:c>
      <x:c r="L59" s="12" t="str">
        <x:v>S0-05B; DGM-05</x:v>
      </x:c>
      <x:c r="M59" s="12" t="str">
        <x:v>G-VS-09</x:v>
      </x:c>
      <x:c r="N59" s="14" t="n">
        <x:v>0</x:v>
      </x:c>
      <x:c r="O59" s="12" t="str">
        <x:v>No</x:v>
      </x:c>
      <x:c r="P59" s="12" t="str"/>
      <x:c r="Q59" s="12" t="str"/>
      <x:c r="R59" s="12" t="str"/>
    </x:row>
    <x:row r="60">
      <x:c r="A60" s="12" t="str">
        <x:v>E8-S6</x:v>
      </x:c>
      <x:c r="B60" s="12" t="str">
        <x:v>E8</x:v>
      </x:c>
      <x:c r="C60" s="12" t="str">
        <x:v>Community · Pastor-safe</x:v>
      </x:c>
      <x:c r="D60" s="12" t="str">
        <x:v>No reverse link</x:v>
      </x:c>
      <x:c r="E60" s="12" t="str">
        <x:v>P0</x:v>
      </x:c>
      <x:c r="F60" s="12" t="str">
        <x:v>Not Started</x:v>
      </x:c>
      <x:c r="G60" s="12" t="str">
        <x:v>QA Lead</x:v>
      </x:c>
      <x:c r="H60" s="12" t="str">
        <x:v>QA/API</x:v>
      </x:c>
      <x:c r="I60" s="12" t="str">
        <x:v>E8-S5</x:v>
      </x:c>
      <x:c r="J60" s="12" t="str">
        <x:v>response privacy assertion</x:v>
      </x:c>
      <x:c r="K60" s="12" t="str">
        <x:v>user_id/token/episode_id/raw_text 없음</x:v>
      </x:c>
      <x:c r="L60" s="12" t="str">
        <x:v>GM-TEST</x:v>
      </x:c>
      <x:c r="M60" s="12" t="str">
        <x:v>G-VS-09</x:v>
      </x:c>
      <x:c r="N60" s="14" t="n">
        <x:v>0</x:v>
      </x:c>
      <x:c r="O60" s="12" t="str">
        <x:v>No</x:v>
      </x:c>
      <x:c r="P60" s="12" t="str"/>
      <x:c r="Q60" s="12" t="str"/>
      <x:c r="R60" s="12" t="str"/>
    </x:row>
    <x:row r="61">
      <x:c r="A61" s="12" t="str">
        <x:v>E8-S7</x:v>
      </x:c>
      <x:c r="B61" s="12" t="str">
        <x:v>E8</x:v>
      </x:c>
      <x:c r="C61" s="12" t="str">
        <x:v>Community · Pastor-safe</x:v>
      </x:c>
      <x:c r="D61" s="12" t="str">
        <x:v>No church score</x:v>
      </x:c>
      <x:c r="E61" s="12" t="str">
        <x:v>P0</x:v>
      </x:c>
      <x:c r="F61" s="12" t="str">
        <x:v>Not Started</x:v>
      </x:c>
      <x:c r="G61" s="12" t="str">
        <x:v>QA Lead</x:v>
      </x:c>
      <x:c r="H61" s="12" t="str">
        <x:v>QA/UX</x:v>
      </x:c>
      <x:c r="I61" s="12" t="str">
        <x:v>E8-S5</x:v>
      </x:c>
      <x:c r="J61" s="12" t="str">
        <x:v>금지 score/list scan</x:v>
      </x:c>
      <x:c r="K61" s="12" t="str">
        <x:v>Church Spiritual Score/non-responder list 없음</x:v>
      </x:c>
      <x:c r="L61" s="12" t="str">
        <x:v>GM-TEST</x:v>
      </x:c>
      <x:c r="M61" s="12" t="str">
        <x:v>G-VS-09</x:v>
      </x:c>
      <x:c r="N61" s="14" t="n">
        <x:v>0</x:v>
      </x:c>
      <x:c r="O61" s="12" t="str">
        <x:v>No</x:v>
      </x:c>
      <x:c r="P61" s="12" t="str"/>
      <x:c r="Q61" s="12" t="str"/>
      <x:c r="R61" s="12" t="str"/>
    </x:row>
    <x:row r="62">
      <x:c r="A62" s="12" t="str">
        <x:v>E9-S1</x:v>
      </x:c>
      <x:c r="B62" s="12" t="str">
        <x:v>E9</x:v>
      </x:c>
      <x:c r="C62" s="12" t="str">
        <x:v>Safety · Audit · Privacy</x:v>
      </x:c>
      <x:c r="D62" s="12" t="str">
        <x:v>Safety event</x:v>
      </x:c>
      <x:c r="E62" s="12" t="str">
        <x:v>P0</x:v>
      </x:c>
      <x:c r="F62" s="12" t="str">
        <x:v>Not Started</x:v>
      </x:c>
      <x:c r="G62" s="12" t="str">
        <x:v>Safety Lead</x:v>
      </x:c>
      <x:c r="H62" s="12" t="str">
        <x:v>Backend/Safety</x:v>
      </x:c>
      <x:c r="I62" s="12" t="str">
        <x:v>E3-S3</x:v>
      </x:c>
      <x:c r="J62" s="12" t="str">
        <x:v>critical safety state</x:v>
      </x:c>
      <x:c r="K62" s="12" t="str">
        <x:v>growth routing보다 우선</x:v>
      </x:c>
      <x:c r="L62" s="12" t="str">
        <x:v>S0-05B</x:v>
      </x:c>
      <x:c r="M62" s="12" t="str">
        <x:v>G-VS-11</x:v>
      </x:c>
      <x:c r="N62" s="14" t="n">
        <x:v>0</x:v>
      </x:c>
      <x:c r="O62" s="12" t="str">
        <x:v>No</x:v>
      </x:c>
      <x:c r="P62" s="12" t="str"/>
      <x:c r="Q62" s="12" t="str"/>
      <x:c r="R62" s="12" t="str"/>
    </x:row>
    <x:row r="63">
      <x:c r="A63" s="12" t="str">
        <x:v>E9-S2</x:v>
      </x:c>
      <x:c r="B63" s="12" t="str">
        <x:v>E9</x:v>
      </x:c>
      <x:c r="C63" s="12" t="str">
        <x:v>Safety · Audit · Privacy</x:v>
      </x:c>
      <x:c r="D63" s="12" t="str">
        <x:v>AI stop/handoff override</x:v>
      </x:c>
      <x:c r="E63" s="12" t="str">
        <x:v>P0</x:v>
      </x:c>
      <x:c r="F63" s="12" t="str">
        <x:v>Not Started</x:v>
      </x:c>
      <x:c r="G63" s="12" t="str">
        <x:v>Safety Lead</x:v>
      </x:c>
      <x:c r="H63" s="12" t="str">
        <x:v>AI/Safety</x:v>
      </x:c>
      <x:c r="I63" s="12" t="str">
        <x:v>E3-S7; E9-S1</x:v>
      </x:c>
      <x:c r="J63" s="12" t="str">
        <x:v>unresolved safety에서 normal flow stop</x:v>
      </x:c>
      <x:c r="K63" s="12" t="str">
        <x:v>override test PASS</x:v>
      </x:c>
      <x:c r="L63" s="12" t="str">
        <x:v>GM-TEST</x:v>
      </x:c>
      <x:c r="M63" s="12" t="str">
        <x:v>G-VS-11</x:v>
      </x:c>
      <x:c r="N63" s="14" t="n">
        <x:v>0</x:v>
      </x:c>
      <x:c r="O63" s="12" t="str">
        <x:v>No</x:v>
      </x:c>
      <x:c r="P63" s="12" t="str"/>
      <x:c r="Q63" s="12" t="str"/>
      <x:c r="R63" s="12" t="str"/>
    </x:row>
    <x:row r="64">
      <x:c r="A64" s="12" t="str">
        <x:v>E9-S3</x:v>
      </x:c>
      <x:c r="B64" s="12" t="str">
        <x:v>E9</x:v>
      </x:c>
      <x:c r="C64" s="12" t="str">
        <x:v>Safety · Audit · Privacy</x:v>
      </x:c>
      <x:c r="D64" s="12" t="str">
        <x:v>Audit event</x:v>
      </x:c>
      <x:c r="E64" s="12" t="str">
        <x:v>P0</x:v>
      </x:c>
      <x:c r="F64" s="12" t="str">
        <x:v>Not Started</x:v>
      </x:c>
      <x:c r="G64" s="12" t="str">
        <x:v>Security Lead</x:v>
      </x:c>
      <x:c r="H64" s="12" t="str">
        <x:v>Security/Backend</x:v>
      </x:c>
      <x:c r="I64" s="12" t="str">
        <x:v>E0-S5</x:v>
      </x:c>
      <x:c r="J64" s="12" t="str">
        <x:v>민감 read/write/export/override audit</x:v>
      </x:c>
      <x:c r="K64" s="12" t="str">
        <x:v>raw journal 미기록</x:v>
      </x:c>
      <x:c r="L64" s="12" t="str">
        <x:v>S0-05B</x:v>
      </x:c>
      <x:c r="M64" s="12" t="str">
        <x:v>G-VS-08; G-VS-11</x:v>
      </x:c>
      <x:c r="N64" s="14" t="n">
        <x:v>0</x:v>
      </x:c>
      <x:c r="O64" s="12" t="str">
        <x:v>No</x:v>
      </x:c>
      <x:c r="P64" s="12" t="str"/>
      <x:c r="Q64" s="12" t="str"/>
      <x:c r="R64" s="12" t="str"/>
    </x:row>
    <x:row r="65">
      <x:c r="A65" s="12" t="str">
        <x:v>E9-S4</x:v>
      </x:c>
      <x:c r="B65" s="12" t="str">
        <x:v>E9</x:v>
      </x:c>
      <x:c r="C65" s="12" t="str">
        <x:v>Safety · Audit · Privacy</x:v>
      </x:c>
      <x:c r="D65" s="12" t="str">
        <x:v>Break-glass</x:v>
      </x:c>
      <x:c r="E65" s="12" t="str">
        <x:v>P1</x:v>
      </x:c>
      <x:c r="F65" s="12" t="str">
        <x:v>Not Started</x:v>
      </x:c>
      <x:c r="G65" s="12" t="str">
        <x:v>Security Lead</x:v>
      </x:c>
      <x:c r="H65" s="12" t="str">
        <x:v>Security</x:v>
      </x:c>
      <x:c r="I65" s="12" t="str">
        <x:v>E9-S3</x:v>
      </x:c>
      <x:c r="J65" s="12" t="str">
        <x:v>별도 scope/justification/start/end</x:v>
      </x:c>
      <x:c r="K65" s="12" t="str">
        <x:v>일반 admin token과 분리</x:v>
      </x:c>
      <x:c r="L65" s="12" t="str">
        <x:v>S0-05B</x:v>
      </x:c>
      <x:c r="M65" s="12" t="str">
        <x:v>G-VS-11</x:v>
      </x:c>
      <x:c r="N65" s="14" t="n">
        <x:v>0</x:v>
      </x:c>
      <x:c r="O65" s="12" t="str">
        <x:v>No</x:v>
      </x:c>
      <x:c r="P65" s="12" t="str"/>
      <x:c r="Q65" s="12" t="str"/>
      <x:c r="R65" s="12" t="str"/>
    </x:row>
    <x:row r="66">
      <x:c r="A66" s="12" t="str">
        <x:v>E9-S5</x:v>
      </x:c>
      <x:c r="B66" s="12" t="str">
        <x:v>E9</x:v>
      </x:c>
      <x:c r="C66" s="12" t="str">
        <x:v>Safety · Audit · Privacy</x:v>
      </x:c>
      <x:c r="D66" s="12" t="str">
        <x:v>Raw deletion lineage</x:v>
      </x:c>
      <x:c r="E66" s="12" t="str">
        <x:v>P0</x:v>
      </x:c>
      <x:c r="F66" s="12" t="str">
        <x:v>Not Started</x:v>
      </x:c>
      <x:c r="G66" s="12" t="str">
        <x:v>Privacy Lead</x:v>
      </x:c>
      <x:c r="H66" s="12" t="str">
        <x:v>Privacy/Data</x:v>
      </x:c>
      <x:c r="I66" s="12" t="str">
        <x:v>E2-S5</x:v>
      </x:c>
      <x:c r="J66" s="12" t="str">
        <x:v>raw 삭제와 파생 index/vector 제거 추적</x:v>
      </x:c>
      <x:c r="K66" s="12" t="str">
        <x:v>deletion lineage audit 가능</x:v>
      </x:c>
      <x:c r="L66" s="12" t="str">
        <x:v>DGM-05</x:v>
      </x:c>
      <x:c r="M66" s="12" t="str">
        <x:v>G-VS-08</x:v>
      </x:c>
      <x:c r="N66" s="14" t="n">
        <x:v>0</x:v>
      </x:c>
      <x:c r="O66" s="12" t="str">
        <x:v>No</x:v>
      </x:c>
      <x:c r="P66" s="12" t="str"/>
      <x:c r="Q66" s="12" t="str"/>
      <x:c r="R66" s="12" t="str"/>
    </x:row>
    <x:row r="67">
      <x:c r="A67" s="12" t="str">
        <x:v>E9-S6</x:v>
      </x:c>
      <x:c r="B67" s="12" t="str">
        <x:v>E9</x:v>
      </x:c>
      <x:c r="C67" s="12" t="str">
        <x:v>Safety · Audit · Privacy</x:v>
      </x:c>
      <x:c r="D67" s="12" t="str">
        <x:v>Pastor privacy architecture</x:v>
      </x:c>
      <x:c r="E67" s="12" t="str">
        <x:v>P0</x:v>
      </x:c>
      <x:c r="F67" s="12" t="str">
        <x:v>Not Started</x:v>
      </x:c>
      <x:c r="G67" s="12" t="str">
        <x:v>Data Architect</x:v>
      </x:c>
      <x:c r="H67" s="12" t="str">
        <x:v>Data/Security</x:v>
      </x:c>
      <x:c r="I67" s="12" t="str">
        <x:v>E8-S5</x:v>
      </x:c>
      <x:c r="J67" s="12" t="str">
        <x:v>aggregate query architecture</x:v>
      </x:c>
      <x:c r="K67" s="12" t="str">
        <x:v>개인 row 조회 후 masking 금지</x:v>
      </x:c>
      <x:c r="L67" s="12" t="str">
        <x:v>GM-AGG</x:v>
      </x:c>
      <x:c r="M67" s="12" t="str">
        <x:v>G-VS-09</x:v>
      </x:c>
      <x:c r="N67" s="14" t="n">
        <x:v>0</x:v>
      </x:c>
      <x:c r="O67" s="12" t="str">
        <x:v>No</x:v>
      </x:c>
      <x:c r="P67" s="12" t="str"/>
      <x:c r="Q67" s="12" t="str"/>
      <x:c r="R67" s="12" t="str"/>
    </x:row>
    <x:row r="68">
      <x:c r="A68" s="12" t="str">
        <x:v>E9-S7</x:v>
      </x:c>
      <x:c r="B68" s="12" t="str">
        <x:v>E9</x:v>
      </x:c>
      <x:c r="C68" s="12" t="str">
        <x:v>Safety · Audit · Privacy</x:v>
      </x:c>
      <x:c r="D68" s="12" t="str">
        <x:v>Research isolation</x:v>
      </x:c>
      <x:c r="E68" s="12" t="str">
        <x:v>P1</x:v>
      </x:c>
      <x:c r="F68" s="12" t="str">
        <x:v>Not Started</x:v>
      </x:c>
      <x:c r="G68" s="12" t="str">
        <x:v>Research Lead</x:v>
      </x:c>
      <x:c r="H68" s="12" t="str">
        <x:v>API/Security</x:v>
      </x:c>
      <x:c r="I68" s="12" t="str">
        <x:v>E9-S3</x:v>
      </x:c>
      <x:c r="J68" s="12" t="str">
        <x:v>pseudonymized dataset route</x:v>
      </x:c>
      <x:c r="K68" s="12" t="str">
        <x:v>production personal API direct use 금지</x:v>
      </x:c>
      <x:c r="L68" s="12" t="str">
        <x:v>DGM-07; S0-05B</x:v>
      </x:c>
      <x:c r="M68" s="12" t="str">
        <x:v>G-VS-08</x:v>
      </x:c>
      <x:c r="N68" s="14" t="n">
        <x:v>0</x:v>
      </x:c>
      <x:c r="O68" s="12" t="str">
        <x:v>No</x:v>
      </x:c>
      <x:c r="P68" s="12" t="str"/>
      <x:c r="Q68" s="12" t="str"/>
      <x:c r="R68" s="12" t="str"/>
    </x:row>
    <x:row r="69">
      <x:c r="A69" s="12" t="str">
        <x:v>E10-S1</x:v>
      </x:c>
      <x:c r="B69" s="12" t="str">
        <x:v>E10</x:v>
      </x:c>
      <x:c r="C69" s="12" t="str">
        <x:v>Synthetic Regression</x:v>
      </x:c>
      <x:c r="D69" s="12" t="str">
        <x:v>Fixture seed loader</x:v>
      </x:c>
      <x:c r="E69" s="12" t="str">
        <x:v>P0</x:v>
      </x:c>
      <x:c r="F69" s="12" t="str">
        <x:v>Not Started</x:v>
      </x:c>
      <x:c r="G69" s="12" t="str">
        <x:v>QA Lead</x:v>
      </x:c>
      <x:c r="H69" s="12" t="str">
        <x:v>QA/Data</x:v>
      </x:c>
      <x:c r="I69" s="12" t="str">
        <x:v>E6-S4; E8-S4</x:v>
      </x:c>
      <x:c r="J69" s="12" t="str">
        <x:v>GM-TEST-FIX-DATA seed</x:v>
      </x:c>
      <x:c r="K69" s="12" t="str">
        <x:v>30 synthetic patterns 로드</x:v>
      </x:c>
      <x:c r="L69" s="12" t="str">
        <x:v>GM-TEST-FIX-DATA-01</x:v>
      </x:c>
      <x:c r="M69" s="12" t="str">
        <x:v>G-VS-10</x:v>
      </x:c>
      <x:c r="N69" s="14" t="n">
        <x:v>0</x:v>
      </x:c>
      <x:c r="O69" s="12" t="str">
        <x:v>No</x:v>
      </x:c>
      <x:c r="P69" s="12" t="str"/>
      <x:c r="Q69" s="12" t="str"/>
      <x:c r="R69" s="12" t="str"/>
    </x:row>
    <x:row r="70">
      <x:c r="A70" s="12" t="str">
        <x:v>E10-S2</x:v>
      </x:c>
      <x:c r="B70" s="12" t="str">
        <x:v>E10</x:v>
      </x:c>
      <x:c r="C70" s="12" t="str">
        <x:v>Synthetic Regression</x:v>
      </x:c>
      <x:c r="D70" s="12" t="str">
        <x:v>P0 invariant automation</x:v>
      </x:c>
      <x:c r="E70" s="12" t="str">
        <x:v>P0</x:v>
      </x:c>
      <x:c r="F70" s="12" t="str">
        <x:v>Not Started</x:v>
      </x:c>
      <x:c r="G70" s="12" t="str">
        <x:v>QA Lead</x:v>
      </x:c>
      <x:c r="H70" s="12" t="str">
        <x:v>QA</x:v>
      </x:c>
      <x:c r="I70" s="12" t="str">
        <x:v>E10-S1</x:v>
      </x:c>
      <x:c r="J70" s="12" t="str">
        <x:v>Candidate/Missing/Opportunity/Practice/Pastor/Safety assertions</x:v>
      </x:c>
      <x:c r="K70" s="12" t="str">
        <x:v>P0 assertions PASS</x:v>
      </x:c>
      <x:c r="L70" s="12" t="str">
        <x:v>GM-TEST-01</x:v>
      </x:c>
      <x:c r="M70" s="12" t="str">
        <x:v>G-VS-10</x:v>
      </x:c>
      <x:c r="N70" s="14" t="n">
        <x:v>0</x:v>
      </x:c>
      <x:c r="O70" s="12" t="str">
        <x:v>No</x:v>
      </x:c>
      <x:c r="P70" s="12" t="str"/>
      <x:c r="Q70" s="12" t="str"/>
      <x:c r="R70" s="12" t="str"/>
    </x:row>
    <x:row r="71">
      <x:c r="A71" s="12" t="str">
        <x:v>E10-S3</x:v>
      </x:c>
      <x:c r="B71" s="12" t="str">
        <x:v>E10</x:v>
      </x:c>
      <x:c r="C71" s="12" t="str">
        <x:v>Synthetic Regression</x:v>
      </x:c>
      <x:c r="D71" s="12" t="str">
        <x:v>Authorization adversarial suite</x:v>
      </x:c>
      <x:c r="E71" s="12" t="str">
        <x:v>P0</x:v>
      </x:c>
      <x:c r="F71" s="12" t="str">
        <x:v>Not Started</x:v>
      </x:c>
      <x:c r="G71" s="12" t="str">
        <x:v>Security Lead</x:v>
      </x:c>
      <x:c r="H71" s="12" t="str">
        <x:v>QA/Security</x:v>
      </x:c>
      <x:c r="I71" s="12" t="str">
        <x:v>E10-S1</x:v>
      </x:c>
      <x:c r="J71" s="12" t="str">
        <x:v>Dual Gate/revocation/suppression/difference attack</x:v>
      </x:c>
      <x:c r="K71" s="12" t="str">
        <x:v>adversarial tests PASS</x:v>
      </x:c>
      <x:c r="L71" s="12" t="str">
        <x:v>GM-TEST-FIX-01</x:v>
      </x:c>
      <x:c r="M71" s="12" t="str">
        <x:v>G-VS-08; G-VS-09; G-VS-10</x:v>
      </x:c>
      <x:c r="N71" s="14" t="n">
        <x:v>0</x:v>
      </x:c>
      <x:c r="O71" s="12" t="str">
        <x:v>No</x:v>
      </x:c>
      <x:c r="P71" s="12" t="str"/>
      <x:c r="Q71" s="12" t="str"/>
      <x:c r="R71" s="12" t="str"/>
    </x:row>
    <x:row r="72">
      <x:c r="A72" s="12" t="str">
        <x:v>E10-S4</x:v>
      </x:c>
      <x:c r="B72" s="12" t="str">
        <x:v>E10</x:v>
      </x:c>
      <x:c r="C72" s="12" t="str">
        <x:v>Synthetic Regression</x:v>
      </x:c>
      <x:c r="D72" s="12" t="str">
        <x:v>Version recompute regression</x:v>
      </x:c>
      <x:c r="E72" s="12" t="str">
        <x:v>P0</x:v>
      </x:c>
      <x:c r="F72" s="12" t="str">
        <x:v>Not Started</x:v>
      </x:c>
      <x:c r="G72" s="12" t="str">
        <x:v>Data Lead</x:v>
      </x:c>
      <x:c r="H72" s="12" t="str">
        <x:v>QA/Data</x:v>
      </x:c>
      <x:c r="I72" s="12" t="str">
        <x:v>E10-S1</x:v>
      </x:c>
      <x:c r="J72" s="12" t="str">
        <x:v>same input/version deterministic recompute</x:v>
      </x:c>
      <x:c r="K72" s="12" t="str">
        <x:v>expected result 일치</x:v>
      </x:c>
      <x:c r="L72" s="12" t="str">
        <x:v>GM-TEST-FIX-DATA-01</x:v>
      </x:c>
      <x:c r="M72" s="12" t="str">
        <x:v>G-VS-10</x:v>
      </x:c>
      <x:c r="N72" s="14" t="n">
        <x:v>0</x:v>
      </x:c>
      <x:c r="O72" s="12" t="str">
        <x:v>No</x:v>
      </x:c>
      <x:c r="P72" s="12" t="str"/>
      <x:c r="Q72" s="12" t="str"/>
      <x:c r="R72" s="12" t="str"/>
    </x:row>
    <x:row r="73">
      <x:c r="A73" s="12" t="str">
        <x:v>E11-S1</x:v>
      </x:c>
      <x:c r="B73" s="12" t="str">
        <x:v>E11</x:v>
      </x:c>
      <x:c r="C73" s="12" t="str">
        <x:v>S30 Dry Run</x:v>
      </x:c>
      <x:c r="D73" s="12" t="str">
        <x:v>Participant dry run</x:v>
      </x:c>
      <x:c r="E73" s="12" t="str">
        <x:v>P0</x:v>
      </x:c>
      <x:c r="F73" s="12" t="str">
        <x:v>Not Started</x:v>
      </x:c>
      <x:c r="G73" s="12" t="str">
        <x:v>Product Lead</x:v>
      </x:c>
      <x:c r="H73" s="12" t="str">
        <x:v>Ops/UX</x:v>
      </x:c>
      <x:c r="I73" s="12" t="str">
        <x:v>E10-S2</x:v>
      </x:c>
      <x:c r="J73" s="12" t="str">
        <x:v>T0/W4/W8/W12 + event/confirmation/action flow rehearsal</x:v>
      </x:c>
      <x:c r="K73" s="12" t="str">
        <x:v>운영 막힘 없이 완주</x:v>
      </x:c>
      <x:c r="L73" s="12" t="str">
        <x:v>S30 Runbook; GM-S30-PACK</x:v>
      </x:c>
      <x:c r="M73" s="12" t="str">
        <x:v>G-VS-12</x:v>
      </x:c>
      <x:c r="N73" s="14" t="n">
        <x:v>0</x:v>
      </x:c>
      <x:c r="O73" s="12" t="str">
        <x:v>No</x:v>
      </x:c>
      <x:c r="P73" s="12" t="str"/>
      <x:c r="Q73" s="12" t="str"/>
      <x:c r="R73" s="12" t="str"/>
    </x:row>
    <x:row r="74">
      <x:c r="A74" s="12" t="str">
        <x:v>E11-S2</x:v>
      </x:c>
      <x:c r="B74" s="12" t="str">
        <x:v>E11</x:v>
      </x:c>
      <x:c r="C74" s="12" t="str">
        <x:v>S30 Dry Run</x:v>
      </x:c>
      <x:c r="D74" s="12" t="str">
        <x:v>Coach dry run</x:v>
      </x:c>
      <x:c r="E74" s="12" t="str">
        <x:v>P0</x:v>
      </x:c>
      <x:c r="F74" s="12" t="str">
        <x:v>Not Started</x:v>
      </x:c>
      <x:c r="G74" s="12" t="str">
        <x:v>Coach Ops Lead</x:v>
      </x:c>
      <x:c r="H74" s="12" t="str">
        <x:v>Ops/UX</x:v>
      </x:c>
      <x:c r="I74" s="12" t="str">
        <x:v>E10-S3</x:v>
      </x:c>
      <x:c r="J74" s="12" t="str">
        <x:v>assignment/grant/brief/confirmation/handoff rehearsal</x:v>
      </x:c>
      <x:c r="K74" s="12" t="str">
        <x:v>Dual Gate 유지하며 운영 가능</x:v>
      </x:c>
      <x:c r="L74" s="12" t="str">
        <x:v>S30 Runbook</x:v>
      </x:c>
      <x:c r="M74" s="12" t="str">
        <x:v>G-VS-12</x:v>
      </x:c>
      <x:c r="N74" s="14" t="n">
        <x:v>0</x:v>
      </x:c>
      <x:c r="O74" s="12" t="str">
        <x:v>No</x:v>
      </x:c>
      <x:c r="P74" s="12" t="str"/>
      <x:c r="Q74" s="12" t="str"/>
      <x:c r="R74" s="12" t="str"/>
    </x:row>
    <x:row r="75">
      <x:c r="A75" s="12" t="str">
        <x:v>E11-S3</x:v>
      </x:c>
      <x:c r="B75" s="12" t="str">
        <x:v>E11</x:v>
      </x:c>
      <x:c r="C75" s="12" t="str">
        <x:v>S30 Dry Run</x:v>
      </x:c>
      <x:c r="D75" s="12" t="str">
        <x:v>Pastor dry run</x:v>
      </x:c>
      <x:c r="E75" s="12" t="str">
        <x:v>P0</x:v>
      </x:c>
      <x:c r="F75" s="12" t="str">
        <x:v>Not Started</x:v>
      </x:c>
      <x:c r="G75" s="12" t="str">
        <x:v>Product Lead</x:v>
      </x:c>
      <x:c r="H75" s="12" t="str">
        <x:v>Ops/UX</x:v>
      </x:c>
      <x:c r="I75" s="12" t="str">
        <x:v>E10-S3</x:v>
      </x:c>
      <x:c r="J75" s="12" t="str">
        <x:v>aggregate profile/suppression/data quality rehearsal</x:v>
      </x:c>
      <x:c r="K75" s="12" t="str">
        <x:v>개인 역추적 불가</x:v>
      </x:c>
      <x:c r="L75" s="12" t="str">
        <x:v>S30 Runbook</x:v>
      </x:c>
      <x:c r="M75" s="12" t="str">
        <x:v>G-VS-12</x:v>
      </x:c>
      <x:c r="N75" s="14" t="n">
        <x:v>0</x:v>
      </x:c>
      <x:c r="O75" s="12" t="str">
        <x:v>No</x:v>
      </x:c>
      <x:c r="P75" s="12" t="str"/>
      <x:c r="Q75" s="12" t="str"/>
      <x:c r="R75" s="12" t="str"/>
    </x:row>
    <x:row r="76">
      <x:c r="A76" s="12" t="str">
        <x:v>E11-S4</x:v>
      </x:c>
      <x:c r="B76" s="12" t="str">
        <x:v>E11</x:v>
      </x:c>
      <x:c r="C76" s="12" t="str">
        <x:v>S30 Dry Run</x:v>
      </x:c>
      <x:c r="D76" s="12" t="str">
        <x:v>Research export rehearsal</x:v>
      </x:c>
      <x:c r="E76" s="12" t="str">
        <x:v>P1</x:v>
      </x:c>
      <x:c r="F76" s="12" t="str">
        <x:v>Not Started</x:v>
      </x:c>
      <x:c r="G76" s="12" t="str">
        <x:v>Research Lead</x:v>
      </x:c>
      <x:c r="H76" s="12" t="str">
        <x:v>Research/Data</x:v>
      </x:c>
      <x:c r="I76" s="12" t="str">
        <x:v>E10-S4</x:v>
      </x:c>
      <x:c r="J76" s="12" t="str">
        <x:v>pseudonymized structured export</x:v>
      </x:c>
      <x:c r="K76" s="12" t="str">
        <x:v>raw journal 없음</x:v>
      </x:c>
      <x:c r="L76" s="12" t="str">
        <x:v>DGM-07</x:v>
      </x:c>
      <x:c r="M76" s="12" t="str">
        <x:v>G-VS-12</x:v>
      </x:c>
      <x:c r="N76" s="14" t="n">
        <x:v>0</x:v>
      </x:c>
      <x:c r="O76" s="12" t="str">
        <x:v>No</x:v>
      </x:c>
      <x:c r="P76" s="12" t="str"/>
      <x:c r="Q76" s="12" t="str"/>
      <x:c r="R76" s="12" t="str"/>
    </x:row>
    <x:row r="77">
      <x:c r="A77" s="12" t="str">
        <x:v>E11-S5</x:v>
      </x:c>
      <x:c r="B77" s="12" t="str">
        <x:v>E11</x:v>
      </x:c>
      <x:c r="C77" s="12" t="str">
        <x:v>S30 Dry Run</x:v>
      </x:c>
      <x:c r="D77" s="12" t="str">
        <x:v>DGM-08 release decision</x:v>
      </x:c>
      <x:c r="E77" s="12" t="str">
        <x:v>P0</x:v>
      </x:c>
      <x:c r="F77" s="12" t="str">
        <x:v>Not Started</x:v>
      </x:c>
      <x:c r="G77" s="12" t="str">
        <x:v>Governance Lead</x:v>
      </x:c>
      <x:c r="H77" s="12" t="str">
        <x:v>Governance/QA</x:v>
      </x:c>
      <x:c r="I77" s="12" t="str">
        <x:v>E11-S1; E11-S2; E11-S3</x:v>
      </x:c>
      <x:c r="J77" s="12" t="str">
        <x:v>GO/REVISE/STOP evidence review</x:v>
      </x:c>
      <x:c r="K77" s="12" t="str">
        <x:v>decision + unresolved issues 기록</x:v>
      </x:c>
      <x:c r="L77" s="12" t="str">
        <x:v>DGM-08</x:v>
      </x:c>
      <x:c r="M77" s="12" t="str">
        <x:v>G-VS-12</x:v>
      </x:c>
      <x:c r="N77" s="14" t="n">
        <x:v>0</x:v>
      </x:c>
      <x:c r="O77" s="12" t="str">
        <x:v>No</x:v>
      </x:c>
      <x:c r="P77" s="12" t="str"/>
      <x:c r="Q77" s="12" t="str"/>
      <x:c r="R77" s="12" t="str"/>
    </x:row>
  </x:sheetData>
  <x:conditionalFormatting sqref="F2:F77">
    <x:cfRule type="expression" dxfId="0" priority="1">
      <x:formula>F2="Blocked"</x:formula>
    </x:cfRule>
    <x:cfRule type="expression" dxfId="1" priority="2">
      <x:formula>F2="Done"</x:formula>
    </x:cfRule>
  </x:conditionalFormatting>
  <x:conditionalFormatting sqref="E2:E77">
    <x:cfRule type="expression" dxfId="2" priority="3">
      <x:formula>E2="P0"</x:formula>
    </x:cfRule>
  </x:conditionalFormatting>
  <x:conditionalFormatting sqref="N2:N77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{5C880F50-08CC-9401-4A8D-9D20416C1765}</x14:id>
        </x:ext>
      </x:extLst>
    </x:cfRule>
  </x:conditionalFormatting>
  <x:dataValidations count="4">
    <x:dataValidation type="list" sqref="E2:E77">
      <x:formula1>"P0,P1,P2"</x:formula1>
    </x:dataValidation>
    <x:dataValidation type="list" sqref="F2:F77">
      <x:formula1>"Not Started,Ready,In Progress,Blocked,In Review,Done"</x:formula1>
    </x:dataValidation>
    <x:dataValidation type="list" sqref="O2:O77">
      <x:formula1>"No,Yes"</x:formula1>
    </x:dataValidation>
    <x:dataValidation type="list" sqref="Q2:Q77">
      <x:formula1>",S0,S1,S2,S3,S4,S5,S6,S7,S8"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9616d6015d405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C880F50-08CC-9401-4A8D-9D20416C1765}">
            <x14:dataBar gradient="1">
              <x14:cfvo type="min"/>
              <x14:cfvo type="max"/>
              <x14:fillColor rgb="FFA02B93"/>
            </x14:dataBar>
          </x14:cfRule>
          <xm:sqref>N2:N77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9" hidden="0" customWidth="1"/>
    <x:col min="5" max="5" width="34" hidden="0" customWidth="1"/>
    <x:col min="6" max="6" width="11" hidden="0" customWidth="1"/>
    <x:col min="7" max="7" width="11" hidden="0" customWidth="1"/>
    <x:col min="8" max="8" width="13" hidden="0" customWidth="1"/>
  </x:cols>
  <x:sheetData>
    <x:row r="1">
      <x:c r="A1" s="18" t="str">
        <x:v>CHGO Implementation Backlog 1.1 — MVP Vertical Slice Dashboard</x:v>
      </x:c>
      <x:c r="B1" s="18"/>
      <x:c r="C1" s="18"/>
      <x:c r="D1" s="18"/>
      <x:c r="E1" s="18"/>
      <x:c r="F1" s="18"/>
      <x:c r="G1" s="18"/>
      <x:c r="H1" s="18"/>
    </x:row>
    <x:row r="3">
      <x:c r="A3" s="28" t="str">
        <x:v>KPI</x:v>
      </x:c>
      <x:c r="B3" s="28" t="str">
        <x:v>Value</x:v>
      </x:c>
      <x:c r="D3" s="28" t="str">
        <x:v>Epic</x:v>
      </x:c>
      <x:c r="E3" s="28" t="str">
        <x:v>Name</x:v>
      </x:c>
      <x:c r="F3" s="28" t="str">
        <x:v>Stories</x:v>
      </x:c>
      <x:c r="G3" s="28" t="str">
        <x:v>Done</x:v>
      </x:c>
      <x:c r="H3" s="28" t="str">
        <x:v>Progress</x:v>
      </x:c>
    </x:row>
    <x:row r="4">
      <x:c r="A4" s="12" t="str">
        <x:v>Total Stories</x:v>
      </x:c>
      <x:c r="B4" s="12" t="n">
        <x:f>COUNTA('Implementation Backlog'!A2:A77)</x:f>
        <x:v>76</x:v>
      </x:c>
      <x:c r="D4" s="12" t="str">
        <x:v>E0</x:v>
      </x:c>
      <x:c r="E4" s="12" t="str">
        <x:v>Foundation &amp; Contract</x:v>
      </x:c>
      <x:c r="F4" s="12" t="n">
        <x:f>COUNTIF('Implementation Backlog'!B:B,D4)</x:f>
        <x:v>6</x:v>
      </x:c>
      <x:c r="G4" s="12" t="n">
        <x:f>COUNTIFS('Implementation Backlog'!B:B,D4,'Implementation Backlog'!F:F,"Done")</x:f>
        <x:v>0</x:v>
      </x:c>
      <x:c r="H4" s="14" t="n">
        <x:f>IFERROR(AVERAGEIF('Implementation Backlog'!B:B,D4,'Implementation Backlog'!N:N),0)</x:f>
        <x:v>0</x:v>
      </x:c>
    </x:row>
    <x:row r="5">
      <x:c r="A5" s="12" t="str">
        <x:v>P0 Stories</x:v>
      </x:c>
      <x:c r="B5" s="12" t="n">
        <x:f>COUNTIF('Implementation Backlog'!E2:E77,"P0")</x:f>
        <x:v>69</x:v>
      </x:c>
      <x:c r="D5" s="12" t="str">
        <x:v>E1</x:v>
      </x:c>
      <x:c r="E5" s="12" t="str">
        <x:v>Identity · Consent · Access</x:v>
      </x:c>
      <x:c r="F5" s="12" t="n">
        <x:f>COUNTIF('Implementation Backlog'!B:B,D5)</x:f>
        <x:v>7</x:v>
      </x:c>
      <x:c r="G5" s="12" t="n">
        <x:f>COUNTIFS('Implementation Backlog'!B:B,D5,'Implementation Backlog'!F:F,"Done")</x:f>
        <x:v>0</x:v>
      </x:c>
      <x:c r="H5" s="14" t="n">
        <x:f>IFERROR(AVERAGEIF('Implementation Backlog'!B:B,D5,'Implementation Backlog'!N:N),0)</x:f>
        <x:v>0</x:v>
      </x:c>
    </x:row>
    <x:row r="6">
      <x:c r="A6" s="12" t="str">
        <x:v>Done</x:v>
      </x:c>
      <x:c r="B6" s="12" t="n">
        <x:f>COUNTIF('Implementation Backlog'!F2:F77,"Done")</x:f>
        <x:v>0</x:v>
      </x:c>
      <x:c r="D6" s="12" t="str">
        <x:v>E2</x:v>
      </x:c>
      <x:c r="E6" s="12" t="str">
        <x:v>Formation · Life Diary</x:v>
      </x:c>
      <x:c r="F6" s="12" t="n">
        <x:f>COUNTIF('Implementation Backlog'!B:B,D6)</x:f>
        <x:v>7</x:v>
      </x:c>
      <x:c r="G6" s="12" t="n">
        <x:f>COUNTIFS('Implementation Backlog'!B:B,D6,'Implementation Backlog'!F:F,"Done")</x:f>
        <x:v>0</x:v>
      </x:c>
      <x:c r="H6" s="14" t="n">
        <x:f>IFERROR(AVERAGEIF('Implementation Backlog'!B:B,D6,'Implementation Backlog'!N:N),0)</x:f>
        <x:v>0</x:v>
      </x:c>
    </x:row>
    <x:row r="7">
      <x:c r="A7" s="12" t="str">
        <x:v>In Progress</x:v>
      </x:c>
      <x:c r="B7" s="12" t="n">
        <x:f>COUNTIF('Implementation Backlog'!F2:F77,"In Progress")</x:f>
        <x:v>0</x:v>
      </x:c>
      <x:c r="D7" s="12" t="str">
        <x:v>E3</x:v>
      </x:c>
      <x:c r="E7" s="12" t="str">
        <x:v>AI Reasoning · Question Routing</x:v>
      </x:c>
      <x:c r="F7" s="12" t="n">
        <x:f>COUNTIF('Implementation Backlog'!B:B,D7)</x:f>
        <x:v>8</x:v>
      </x:c>
      <x:c r="G7" s="12" t="n">
        <x:f>COUNTIFS('Implementation Backlog'!B:B,D7,'Implementation Backlog'!F:F,"Done")</x:f>
        <x:v>0</x:v>
      </x:c>
      <x:c r="H7" s="14" t="n">
        <x:f>IFERROR(AVERAGEIF('Implementation Backlog'!B:B,D7,'Implementation Backlog'!N:N),0)</x:f>
        <x:v>0</x:v>
      </x:c>
    </x:row>
    <x:row r="8">
      <x:c r="A8" s="12" t="str">
        <x:v>Blocked</x:v>
      </x:c>
      <x:c r="B8" s="12" t="n">
        <x:f>COUNTIF('Implementation Backlog'!F2:F77,"Blocked")</x:f>
        <x:v>3</x:v>
      </x:c>
      <x:c r="D8" s="12" t="str">
        <x:v>E4</x:v>
      </x:c>
      <x:c r="E8" s="12" t="str">
        <x:v>Candidate · Confirmation · Evidence</x:v>
      </x:c>
      <x:c r="F8" s="12" t="n">
        <x:f>COUNTIF('Implementation Backlog'!B:B,D8)</x:f>
        <x:v>7</x:v>
      </x:c>
      <x:c r="G8" s="12" t="n">
        <x:f>COUNTIFS('Implementation Backlog'!B:B,D8,'Implementation Backlog'!F:F,"Done")</x:f>
        <x:v>0</x:v>
      </x:c>
      <x:c r="H8" s="14" t="n">
        <x:f>IFERROR(AVERAGEIF('Implementation Backlog'!B:B,D8,'Implementation Backlog'!N:N),0)</x:f>
        <x:v>0</x:v>
      </x:c>
    </x:row>
    <x:row r="9">
      <x:c r="A9" s="12" t="str">
        <x:v>Overall Progress</x:v>
      </x:c>
      <x:c r="B9" s="14" t="n">
        <x:f>IFERROR(AVERAGE('Implementation Backlog'!N2:N77),0)</x:f>
        <x:v>0</x:v>
      </x:c>
      <x:c r="D9" s="12" t="str">
        <x:v>E5</x:v>
      </x:c>
      <x:c r="E9" s="12" t="str">
        <x:v>Practice · Outcome</x:v>
      </x:c>
      <x:c r="F9" s="12" t="n">
        <x:f>COUNTIF('Implementation Backlog'!B:B,D9)</x:f>
        <x:v>6</x:v>
      </x:c>
      <x:c r="G9" s="12" t="n">
        <x:f>COUNTIFS('Implementation Backlog'!B:B,D9,'Implementation Backlog'!F:F,"Done")</x:f>
        <x:v>0</x:v>
      </x:c>
      <x:c r="H9" s="14" t="n">
        <x:f>IFERROR(AVERAGEIF('Implementation Backlog'!B:B,D9,'Implementation Backlog'!N:N),0)</x:f>
        <x:v>0</x:v>
      </x:c>
    </x:row>
    <x:row r="10">
      <x:c r="D10" s="12" t="str">
        <x:v>E6</x:v>
      </x:c>
      <x:c r="E10" s="12" t="str">
        <x:v>Survey · Dynamics · Personal Profile</x:v>
      </x:c>
      <x:c r="F10" s="12" t="n">
        <x:f>COUNTIF('Implementation Backlog'!B:B,D10)</x:f>
        <x:v>7</x:v>
      </x:c>
      <x:c r="G10" s="12" t="n">
        <x:f>COUNTIFS('Implementation Backlog'!B:B,D10,'Implementation Backlog'!F:F,"Done")</x:f>
        <x:v>0</x:v>
      </x:c>
      <x:c r="H10" s="14" t="n">
        <x:f>IFERROR(AVERAGEIF('Implementation Backlog'!B:B,D10,'Implementation Backlog'!N:N),0)</x:f>
        <x:v>0</x:v>
      </x:c>
    </x:row>
    <x:row r="11">
      <x:c r="D11" s="12" t="str">
        <x:v>E7</x:v>
      </x:c>
      <x:c r="E11" s="12" t="str">
        <x:v>Coach Surface</x:v>
      </x:c>
      <x:c r="F11" s="12" t="n">
        <x:f>COUNTIF('Implementation Backlog'!B:B,D11)</x:f>
        <x:v>5</x:v>
      </x:c>
      <x:c r="G11" s="12" t="n">
        <x:f>COUNTIFS('Implementation Backlog'!B:B,D11,'Implementation Backlog'!F:F,"Done")</x:f>
        <x:v>0</x:v>
      </x:c>
      <x:c r="H11" s="14" t="n">
        <x:f>IFERROR(AVERAGEIF('Implementation Backlog'!B:B,D11,'Implementation Backlog'!N:N),0)</x:f>
        <x:v>0</x:v>
      </x:c>
    </x:row>
    <x:row r="12">
      <x:c r="D12" s="12" t="str">
        <x:v>E8</x:v>
      </x:c>
      <x:c r="E12" s="12" t="str">
        <x:v>Community · Pastor-safe</x:v>
      </x:c>
      <x:c r="F12" s="12" t="n">
        <x:f>COUNTIF('Implementation Backlog'!B:B,D12)</x:f>
        <x:v>7</x:v>
      </x:c>
      <x:c r="G12" s="12" t="n">
        <x:f>COUNTIFS('Implementation Backlog'!B:B,D12,'Implementation Backlog'!F:F,"Done")</x:f>
        <x:v>0</x:v>
      </x:c>
      <x:c r="H12" s="14" t="n">
        <x:f>IFERROR(AVERAGEIF('Implementation Backlog'!B:B,D12,'Implementation Backlog'!N:N),0)</x:f>
        <x:v>0</x:v>
      </x:c>
    </x:row>
    <x:row r="13">
      <x:c r="D13" s="12" t="str">
        <x:v>E9</x:v>
      </x:c>
      <x:c r="E13" s="12" t="str">
        <x:v>Safety · Audit · Privacy</x:v>
      </x:c>
      <x:c r="F13" s="12" t="n">
        <x:f>COUNTIF('Implementation Backlog'!B:B,D13)</x:f>
        <x:v>7</x:v>
      </x:c>
      <x:c r="G13" s="12" t="n">
        <x:f>COUNTIFS('Implementation Backlog'!B:B,D13,'Implementation Backlog'!F:F,"Done")</x:f>
        <x:v>0</x:v>
      </x:c>
      <x:c r="H13" s="14" t="n">
        <x:f>IFERROR(AVERAGEIF('Implementation Backlog'!B:B,D13,'Implementation Backlog'!N:N),0)</x:f>
        <x:v>0</x:v>
      </x:c>
    </x:row>
    <x:row r="14">
      <x:c r="D14" s="12" t="str">
        <x:v>E10</x:v>
      </x:c>
      <x:c r="E14" s="12" t="str">
        <x:v>Synthetic Regression</x:v>
      </x:c>
      <x:c r="F14" s="12" t="n">
        <x:f>COUNTIF('Implementation Backlog'!B:B,D14)</x:f>
        <x:v>4</x:v>
      </x:c>
      <x:c r="G14" s="12" t="n">
        <x:f>COUNTIFS('Implementation Backlog'!B:B,D14,'Implementation Backlog'!F:F,"Done")</x:f>
        <x:v>0</x:v>
      </x:c>
      <x:c r="H14" s="14" t="n">
        <x:f>IFERROR(AVERAGEIF('Implementation Backlog'!B:B,D14,'Implementation Backlog'!N:N),0)</x:f>
        <x:v>0</x:v>
      </x:c>
    </x:row>
    <x:row r="15">
      <x:c r="D15" s="12" t="str">
        <x:v>E11</x:v>
      </x:c>
      <x:c r="E15" s="12" t="str">
        <x:v>S30 Dry Run</x:v>
      </x:c>
      <x:c r="F15" s="12" t="n">
        <x:f>COUNTIF('Implementation Backlog'!B:B,D15)</x:f>
        <x:v>5</x:v>
      </x:c>
      <x:c r="G15" s="12" t="n">
        <x:f>COUNTIFS('Implementation Backlog'!B:B,D15,'Implementation Backlog'!F:F,"Done")</x:f>
        <x:v>0</x:v>
      </x:c>
      <x:c r="H15" s="14" t="n">
        <x:f>IFERROR(AVERAGEIF('Implementation Backlog'!B:B,D15,'Implementation Backlog'!N:N),0)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eb6252f54ba4456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14" hidden="0" customWidth="1"/>
    <x:col min="5" max="5" width="20" hidden="0" customWidth="1"/>
    <x:col min="6" max="6" width="36" hidden="0" customWidth="1"/>
  </x:cols>
  <x:sheetData>
    <x:row r="1">
      <x:c r="A1" s="4" t="str">
        <x:v>Gate</x:v>
      </x:c>
      <x:c r="B1" s="4" t="str">
        <x:v>Name</x:v>
      </x:c>
      <x:c r="C1" s="4" t="str">
        <x:v>PASS Condition</x:v>
      </x:c>
      <x:c r="D1" s="4" t="str">
        <x:v>Status</x:v>
      </x:c>
      <x:c r="E1" s="4" t="str">
        <x:v>Owner</x:v>
      </x:c>
      <x:c r="F1" s="4" t="str">
        <x:v>Evidence / Notes</x:v>
      </x:c>
    </x:row>
    <x:row r="2">
      <x:c r="A2" s="12" t="str">
        <x:v>G-VS-01</x:v>
      </x:c>
      <x:c r="B2" s="12" t="str">
        <x:v>Canonical</x:v>
      </x:c>
      <x:c r="C2" s="12" t="str">
        <x:v>S0-01~05B Active sources frozen</x:v>
      </x:c>
      <x:c r="D2" s="12" t="str">
        <x:v>Not Started</x:v>
      </x:c>
      <x:c r="E2" s="12" t="str">
        <x:v>Governance Lead</x:v>
      </x:c>
      <x:c r="F2" s="12" t="str"/>
    </x:row>
    <x:row r="3">
      <x:c r="A3" s="12" t="str">
        <x:v>G-VS-02</x:v>
      </x:c>
      <x:c r="B3" s="12" t="str">
        <x:v>Data</x:v>
      </x:c>
      <x:c r="C3" s="12" t="str">
        <x:v>Core migrations repeatable</x:v>
      </x:c>
      <x:c r="D3" s="12" t="str">
        <x:v>Not Started</x:v>
      </x:c>
      <x:c r="E3" s="12" t="str">
        <x:v>Data Architect</x:v>
      </x:c>
      <x:c r="F3" s="12" t="str"/>
    </x:row>
    <x:row r="4">
      <x:c r="A4" s="12" t="str">
        <x:v>G-VS-03</x:v>
      </x:c>
      <x:c r="B4" s="12" t="str">
        <x:v>API</x:v>
      </x:c>
      <x:c r="C4" s="12" t="str">
        <x:v>OpenAPI validates; auth/error schemas implemented</x:v>
      </x:c>
      <x:c r="D4" s="12" t="str">
        <x:v>Not Started</x:v>
      </x:c>
      <x:c r="E4" s="12" t="str">
        <x:v>API Lead</x:v>
      </x:c>
      <x:c r="F4" s="12" t="str"/>
    </x:row>
    <x:row r="5">
      <x:c r="A5" s="12" t="str">
        <x:v>G-VS-04</x:v>
      </x:c>
      <x:c r="B5" s="12" t="str">
        <x:v>Formation</x:v>
      </x:c>
      <x:c r="C5" s="12" t="str">
        <x:v>LifeEvent→Reflection→Episode works</x:v>
      </x:c>
      <x:c r="D5" s="12" t="str">
        <x:v>Not Started</x:v>
      </x:c>
      <x:c r="E5" s="12" t="str">
        <x:v>Product/Backend</x:v>
      </x:c>
      <x:c r="F5" s="12" t="str"/>
    </x:row>
    <x:row r="6">
      <x:c r="A6" s="12" t="str">
        <x:v>G-VS-05</x:v>
      </x:c>
      <x:c r="B6" s="12" t="str">
        <x:v>AI</x:v>
      </x:c>
      <x:c r="C6" s="12" t="str">
        <x:v>Reasoning→Question with stop/handoff works</x:v>
      </x:c>
      <x:c r="D6" s="12" t="str">
        <x:v>Not Started</x:v>
      </x:c>
      <x:c r="E6" s="12" t="str">
        <x:v>AI Lead</x:v>
      </x:c>
      <x:c r="F6" s="12" t="str"/>
    </x:row>
    <x:row r="7">
      <x:c r="A7" s="12" t="str">
        <x:v>G-VS-06</x:v>
      </x:c>
      <x:c r="B7" s="12" t="str">
        <x:v>Growth</x:v>
      </x:c>
      <x:c r="C7" s="12" t="str">
        <x:v>Candidate→Human Confirmation→Evidence works</x:v>
      </x:c>
      <x:c r="D7" s="12" t="str">
        <x:v>Not Started</x:v>
      </x:c>
      <x:c r="E7" s="12" t="str">
        <x:v>Measurement Lead</x:v>
      </x:c>
      <x:c r="F7" s="12" t="str"/>
    </x:row>
    <x:row r="8">
      <x:c r="A8" s="12" t="str">
        <x:v>G-VS-07</x:v>
      </x:c>
      <x:c r="B8" s="12" t="str">
        <x:v>Measurement</x:v>
      </x:c>
      <x:c r="C8" s="12" t="str">
        <x:v>Practice/Outcome/Survey/Dynamics invariants pass</x:v>
      </x:c>
      <x:c r="D8" s="12" t="str">
        <x:v>Not Started</x:v>
      </x:c>
      <x:c r="E8" s="12" t="str">
        <x:v>Measurement/QA</x:v>
      </x:c>
      <x:c r="F8" s="12" t="str"/>
    </x:row>
    <x:row r="9">
      <x:c r="A9" s="12" t="str">
        <x:v>G-VS-08</x:v>
      </x:c>
      <x:c r="B9" s="12" t="str">
        <x:v>Privacy</x:v>
      </x:c>
      <x:c r="C9" s="12" t="str">
        <x:v>Dual Gate/revocation/raw separation pass</x:v>
      </x:c>
      <x:c r="D9" s="12" t="str">
        <x:v>Not Started</x:v>
      </x:c>
      <x:c r="E9" s="12" t="str">
        <x:v>Privacy/Security</x:v>
      </x:c>
      <x:c r="F9" s="12" t="str"/>
    </x:row>
    <x:row r="10">
      <x:c r="A10" s="12" t="str">
        <x:v>G-VS-09</x:v>
      </x:c>
      <x:c r="B10" s="12" t="str">
        <x:v>Community</x:v>
      </x:c>
      <x:c r="C10" s="12" t="str">
        <x:v>Pastor aggregate-only + suppression pass</x:v>
      </x:c>
      <x:c r="D10" s="12" t="str">
        <x:v>Not Started</x:v>
      </x:c>
      <x:c r="E10" s="12" t="str">
        <x:v>Data/Privacy</x:v>
      </x:c>
      <x:c r="F10" s="12" t="str"/>
    </x:row>
    <x:row r="11">
      <x:c r="A11" s="12" t="str">
        <x:v>G-VS-10</x:v>
      </x:c>
      <x:c r="B11" s="12" t="str">
        <x:v>Synthetic</x:v>
      </x:c>
      <x:c r="C11" s="12" t="str">
        <x:v>GM-TEST-FIX-DATA critical assertions pass</x:v>
      </x:c>
      <x:c r="D11" s="12" t="str">
        <x:v>Not Started</x:v>
      </x:c>
      <x:c r="E11" s="12" t="str">
        <x:v>QA Lead</x:v>
      </x:c>
      <x:c r="F11" s="12" t="str"/>
    </x:row>
    <x:row r="12">
      <x:c r="A12" s="12" t="str">
        <x:v>G-VS-11</x:v>
      </x:c>
      <x:c r="B12" s="12" t="str">
        <x:v>Safety</x:v>
      </x:c>
      <x:c r="C12" s="12" t="str">
        <x:v>critical override pass</x:v>
      </x:c>
      <x:c r="D12" s="12" t="str">
        <x:v>Not Started</x:v>
      </x:c>
      <x:c r="E12" s="12" t="str">
        <x:v>Safety Lead</x:v>
      </x:c>
      <x:c r="F12" s="12" t="str"/>
    </x:row>
    <x:row r="13">
      <x:c r="A13" s="12" t="str">
        <x:v>G-VS-12</x:v>
      </x:c>
      <x:c r="B13" s="12" t="str">
        <x:v>Governance</x:v>
      </x:c>
      <x:c r="C13" s="12" t="str">
        <x:v>DGM-08 GO or documented REVISE</x:v>
      </x:c>
      <x:c r="D13" s="12" t="str">
        <x:v>Not Started</x:v>
      </x:c>
      <x:c r="E13" s="12" t="str">
        <x:v>Governance Lead</x:v>
      </x:c>
      <x:c r="F13" s="12" t="str"/>
    </x:row>
  </x:sheetData>
  <x:conditionalFormatting sqref="D2:D13">
    <x:cfRule type="expression" dxfId="3" priority="1">
      <x:formula>D2="PASS"</x:formula>
    </x:cfRule>
    <x:cfRule type="expression" dxfId="4" priority="2">
      <x:formula>D2="Blocked"</x:formula>
    </x:cfRule>
  </x:conditionalFormatting>
  <x:dataValidations count="1">
    <x:dataValidation type="list" sqref="D2:D13">
      <x:formula1>"Not Started,In Progress,Blocked,PASS,REVISE"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5c92962aad43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52" hidden="0" customWidth="1"/>
    <x:col min="4" max="4" width="20" hidden="0" customWidth="1"/>
  </x:cols>
  <x:sheetData>
    <x:row r="1">
      <x:c r="A1" s="3" t="str">
        <x:v>Priority</x:v>
      </x:c>
      <x:c r="B1" s="3" t="str">
        <x:v>Source</x:v>
      </x:c>
      <x:c r="C1" s="3" t="str">
        <x:v>Role in Implementation</x:v>
      </x:c>
      <x:c r="D1" s="3" t="str">
        <x:v>Active Use</x:v>
      </x:c>
    </x:row>
    <x:row r="2">
      <x:c r="A2" s="12" t="str">
        <x:v>P0</x:v>
      </x:c>
      <x:c r="B2" s="12" t="str">
        <x:v>S0-00 / S0-00A Registry</x:v>
      </x:c>
      <x:c r="C2" s="12" t="str">
        <x:v>Active/Reference/Superseded 상태 판정</x:v>
      </x:c>
      <x:c r="D2" s="12" t="str">
        <x:v>Governance</x:v>
      </x:c>
    </x:row>
    <x:row r="3">
      <x:c r="A3" s="12" t="str">
        <x:v>P0</x:v>
      </x:c>
      <x:c r="B3" s="12" t="str">
        <x:v>S0-01 Boundary Constitution</x:v>
      </x:c>
      <x:c r="C3" s="12" t="str">
        <x:v>JesusLife↔CHGO 경계</x:v>
      </x:c>
      <x:c r="D3" s="12" t="str">
        <x:v>All</x:v>
      </x:c>
    </x:row>
    <x:row r="4">
      <x:c r="A4" s="12" t="str">
        <x:v>P0</x:v>
      </x:c>
      <x:c r="B4" s="12" t="str">
        <x:v>S0-02 Canonical Scope &amp; Meaning Freeze</x:v>
      </x:c>
      <x:c r="C4" s="12" t="str">
        <x:v>JesusLife 의미 Freeze</x:v>
      </x:c>
      <x:c r="D4" s="12" t="str">
        <x:v>All</x:v>
      </x:c>
    </x:row>
    <x:row r="5">
      <x:c r="A5" s="12" t="str">
        <x:v>P0</x:v>
      </x:c>
      <x:c r="B5" s="12" t="str">
        <x:v>S0-03 Ecclesiology Extension</x:v>
      </x:c>
      <x:c r="C5" s="12" t="str">
        <x:v>교회론 Extension 경계</x:v>
      </x:c>
      <x:c r="D5" s="12" t="str">
        <x:v>Community</x:v>
      </x:c>
    </x:row>
    <x:row r="6">
      <x:c r="A6" s="12" t="str">
        <x:v>P0</x:v>
      </x:c>
      <x:c r="B6" s="12" t="str">
        <x:v>S0-04B Integrated Core ERD v1.0</x:v>
      </x:c>
      <x:c r="C6" s="12" t="str">
        <x:v>전체 저장 구조 Source of Truth</x:v>
      </x:c>
      <x:c r="D6" s="12" t="str">
        <x:v>DB</x:v>
      </x:c>
    </x:row>
    <x:row r="7">
      <x:c r="A7" s="12" t="str">
        <x:v>P0</x:v>
      </x:c>
      <x:c r="B7" s="12" t="str">
        <x:v>S0-05B Integrated API/OpenAPI v1.0</x:v>
      </x:c>
      <x:c r="C7" s="12" t="str">
        <x:v>전체 읽기/쓰기/권한 Source of Truth</x:v>
      </x:c>
      <x:c r="D7" s="12" t="str">
        <x:v>API/Security</x:v>
      </x:c>
    </x:row>
    <x:row r="8">
      <x:c r="A8" s="12" t="str">
        <x:v>P1</x:v>
      </x:c>
      <x:c r="B8" s="12" t="str">
        <x:v>DGM-01~08</x:v>
      </x:c>
      <x:c r="C8" s="12" t="str">
        <x:v>Signal/Dynamics/Question/Journey/Privacy/UI/Research/Release 세부 계약</x:v>
      </x:c>
      <x:c r="D8" s="12" t="str">
        <x:v>Domain</x:v>
      </x:c>
    </x:row>
    <x:row r="9">
      <x:c r="A9" s="12" t="str">
        <x:v>P1</x:v>
      </x:c>
      <x:c r="B9" s="12" t="str">
        <x:v>GM-DICT / TRACE / ALIGN / TEST</x:v>
      </x:c>
      <x:c r="C9" s="12" t="str">
        <x:v>측정 의미·추적·구현·검증</x:v>
      </x:c>
      <x:c r="D9" s="12" t="str">
        <x:v>Measurement/QA</x:v>
      </x:c>
    </x:row>
    <x:row r="10">
      <x:c r="A10" s="12" t="str">
        <x:v>P1</x:v>
      </x:c>
      <x:c r="B10" s="12" t="str">
        <x:v>Digital JesusLife MVP Data &amp; Event Schema</x:v>
      </x:c>
      <x:c r="C10" s="12" t="str">
        <x:v>Formation 세부 Source</x:v>
      </x:c>
      <x:c r="D10" s="12" t="str">
        <x:v>Formation</x:v>
      </x:c>
    </x:row>
    <x:row r="11">
      <x:c r="A11" s="12" t="str">
        <x:v>P1</x:v>
      </x:c>
      <x:c r="B11" s="12" t="str">
        <x:v>AI Coach Reasoning &amp; Prompt Architecture</x:v>
      </x:c>
      <x:c r="C11" s="12" t="str">
        <x:v>AI Reasoning 세부 Source</x:v>
      </x:c>
      <x:c r="D11" s="12" t="str">
        <x:v>AI</x:v>
      </x:c>
    </x:row>
    <x:row r="12">
      <x:c r="A12" s="12" t="str">
        <x:v>P1</x:v>
      </x:c>
      <x:c r="B12" s="12" t="str">
        <x:v>GM-TEST-FIX-01 / GM-TEST-FIX-DATA-01</x:v>
      </x:c>
      <x:c r="C12" s="12" t="str">
        <x:v>Synthetic regression 기준</x:v>
      </x:c>
      <x:c r="D12" s="12" t="str">
        <x:v>QA</x:v>
      </x:c>
    </x:row>
    <x:row r="13">
      <x:c r="A13" s="12" t="str">
        <x:v>P2</x:v>
      </x:c>
      <x:c r="B13" s="12" t="str">
        <x:v>S30 Runbook / FORM / PACK / VAL-S30</x:v>
      </x:c>
      <x:c r="C13" s="12" t="str">
        <x:v>현장 파일럿 실행 Source</x:v>
      </x:c>
      <x:c r="D13" s="12" t="str">
        <x:v>S30 Ops</x:v>
      </x:c>
    </x:row>
    <x:row r="14">
      <x:c r="A14" s="12" t="str">
        <x:v>REF</x:v>
      </x:c>
      <x:c r="B14" s="12" t="str">
        <x:v>90 / 99 / 과거 ERD·API</x:v>
      </x:c>
      <x:c r="C14" s="12" t="str">
        <x:v>구현 기준으로 사용하지 않음</x:v>
      </x:c>
      <x:c r="D14" s="12" t="str">
        <x:v>Reference only</x:v>
      </x:c>
    </x:row>
  </x:sheetData>
  <x:pageMargins left="0.7" right="0.7" top="0.75" bottom="0.75" header="0.3" footer="0.3"/>
  <x:tableParts count="1">
    <x:tablePart xmlns:r="http://schemas.openxmlformats.org/officeDocument/2006/relationships" r:id="Re0f24bcd21ab4e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" t="str">
        <x:v>Status</x:v>
      </x:c>
      <x:c r="B1" s="3" t="str">
        <x:v>Priority</x:v>
      </x:c>
      <x:c r="C1" s="3" t="str">
        <x:v>Ready</x:v>
      </x:c>
      <x:c r="D1" s="3" t="str">
        <x:v>Sprint</x:v>
      </x:c>
    </x:row>
    <x:row r="2">
      <x:c r="A2" t="str">
        <x:v>Not Started</x:v>
      </x:c>
      <x:c r="B2" t="str">
        <x:v>P0</x:v>
      </x:c>
      <x:c r="C2" t="str">
        <x:v>No</x:v>
      </x:c>
      <x:c r="D2" t="str">
        <x:v>S0</x:v>
      </x:c>
    </x:row>
    <x:row r="3">
      <x:c r="A3" t="str">
        <x:v>Ready</x:v>
      </x:c>
      <x:c r="B3" t="str">
        <x:v>P1</x:v>
      </x:c>
      <x:c r="C3" t="str">
        <x:v>Yes</x:v>
      </x:c>
      <x:c r="D3" t="str">
        <x:v>S1</x:v>
      </x:c>
    </x:row>
    <x:row r="4">
      <x:c r="A4" t="str">
        <x:v>In Progress</x:v>
      </x:c>
      <x:c r="B4" t="str">
        <x:v>P2</x:v>
      </x:c>
      <x:c r="C4" t="str"/>
      <x:c r="D4" t="str">
        <x:v>S2</x:v>
      </x:c>
    </x:row>
    <x:row r="5">
      <x:c r="A5" t="str">
        <x:v>Blocked</x:v>
      </x:c>
      <x:c r="B5" t="str"/>
      <x:c r="C5" t="str"/>
      <x:c r="D5" t="str">
        <x:v>S3</x:v>
      </x:c>
    </x:row>
    <x:row r="6">
      <x:c r="A6" t="str">
        <x:v>In Review</x:v>
      </x:c>
      <x:c r="B6" t="str"/>
      <x:c r="C6" t="str"/>
      <x:c r="D6" t="str">
        <x:v>S4</x:v>
      </x:c>
    </x:row>
    <x:row r="7">
      <x:c r="A7" t="str">
        <x:v>Done</x:v>
      </x:c>
      <x:c r="B7" t="str"/>
      <x:c r="C7" t="str"/>
      <x:c r="D7" t="str">
        <x:v>S5</x:v>
      </x:c>
    </x:row>
    <x:row r="8">
      <x:c r="A8" t="str"/>
      <x:c r="B8" t="str"/>
      <x:c r="C8" t="str"/>
      <x:c r="D8" t="str">
        <x:v>S6</x:v>
      </x:c>
    </x:row>
    <x:row r="9">
      <x:c r="A9" t="str"/>
      <x:c r="B9" t="str"/>
      <x:c r="C9" t="str"/>
      <x:c r="D9" t="str">
        <x:v>S7</x:v>
      </x:c>
    </x:row>
    <x:row r="10">
      <x:c r="A10" t="str"/>
      <x:c r="B10" t="str"/>
      <x:c r="C10" t="str"/>
      <x:c r="D10" t="str">
        <x:v>S8</x:v>
      </x:c>
    </x:row>
  </x:sheetData>
  <x:pageMargins left="0.7" right="0.7" top="0.75" bottom="0.75" header="0.3" footer="0.3"/>
</x:worksheet>
</file>