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5eddafa3a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rch OS 2.0 Delta" sheetId="1" r:id="Rcda8f56dcefb41d1"/>
    <x:sheet xmlns:r="http://schemas.openxmlformats.org/officeDocument/2006/relationships" name="Lists" sheetId="2" r:id="R4fd5aee0fd114ce9"/>
    <x:sheet xmlns:r="http://schemas.openxmlformats.org/officeDocument/2006/relationships" name="Dashboard" sheetId="3" r:id="R7cd1fc6549554bfb"/>
    <x:sheet xmlns:r="http://schemas.openxmlformats.org/officeDocument/2006/relationships" name="Release Gates" sheetId="4" r:id="Rbfa53b14d9b54b3f"/>
    <x:sheet xmlns:r="http://schemas.openxmlformats.org/officeDocument/2006/relationships" name="Traceability" sheetId="5" r:id="Rff72c33bc691461d"/>
    <x:sheet xmlns:r="http://schemas.openxmlformats.org/officeDocument/2006/relationships" name="Open Decisions" sheetId="6" r:id="Rc8600a3bb88d4d40"/>
    <x:sheet xmlns:r="http://schemas.openxmlformats.org/officeDocument/2006/relationships" name="Source Map" sheetId="7" r:id="Rde334503877e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adc7575554bee" /><Relationship Type="http://schemas.openxmlformats.org/officeDocument/2006/relationships/theme" Target="/xl/theme/theme1.xml" Id="R25daaebe2bf04f62" /><Relationship Type="http://schemas.openxmlformats.org/officeDocument/2006/relationships/sharedStrings" Target="/xl/sharedStrings.xml" Id="Raa22e7cb70424dc3" /><Relationship Type="http://schemas.openxmlformats.org/officeDocument/2006/relationships/worksheet" Target="/xl/worksheets/sheet1.xml" Id="Rcda8f56dcefb41d1" /><Relationship Type="http://schemas.openxmlformats.org/officeDocument/2006/relationships/worksheet" Target="/xl/worksheets/sheet2.xml" Id="R4fd5aee0fd114ce9" /><Relationship Type="http://schemas.openxmlformats.org/officeDocument/2006/relationships/worksheet" Target="/xl/worksheets/sheet3.xml" Id="R7cd1fc6549554bfb" /><Relationship Type="http://schemas.openxmlformats.org/officeDocument/2006/relationships/worksheet" Target="/xl/worksheets/sheet4.xml" Id="Rbfa53b14d9b54b3f" /><Relationship Type="http://schemas.openxmlformats.org/officeDocument/2006/relationships/worksheet" Target="/xl/worksheets/sheet5.xml" Id="Rff72c33bc691461d" /><Relationship Type="http://schemas.openxmlformats.org/officeDocument/2006/relationships/worksheet" Target="/xl/worksheets/sheet6.xml" Id="Rc8600a3bb88d4d40" /><Relationship Type="http://schemas.openxmlformats.org/officeDocument/2006/relationships/worksheet" Target="/xl/worksheets/sheet7.xml" Id="Rde334503877e48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a61f18300b4d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Stories by Epic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Name</c:v>
          </c:tx>
          <c:cat>
            <c:strRef>
              <c:f>'Dashboard'!$D$4:$D$14</c:f>
              <c:strCache>
                <c:ptCount val="0"/>
              </c:strCache>
            </c:strRef>
          </c:cat>
          <c:val>
            <c:numRef>
              <c:f>'Dashboard'!$E$4:$E$14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Stories</c:v>
          </c:tx>
          <c:cat>
            <c:strRef>
              <c:f>'Dashboard'!$D$4:$D$14</c:f>
              <c:strCache>
                <c:ptCount val="0"/>
              </c:strCache>
            </c:strRef>
          </c:cat>
          <c:val>
            <c:numRef>
              <c:f>'Dashboard'!$F$4:$F$14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a61f18300b4d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urchOSDeltaBacklog" displayName="ChurchOSDeltaBacklog" ref="A1:T78" headerRowCount="1" totalsRowCount="0" totalsRowShown="0">
  <x:tableColumns count="20">
    <x:tableColumn id="1" name="Story ID"/>
    <x:tableColumn id="2" name="Epic"/>
    <x:tableColumn id="3" name="Epic Name"/>
    <x:tableColumn id="4" name="Story"/>
    <x:tableColumn id="5" name="Priority"/>
    <x:tableColumn id="6" name="Status"/>
    <x:tableColumn id="7" name="Owner"/>
    <x:tableColumn id="8" name="Workstream"/>
    <x:tableColumn id="9" name="Dependencies"/>
    <x:tableColumn id="10" name="Build / Deliverable"/>
    <x:tableColumn id="11" name="Acceptance Criteria"/>
    <x:tableColumn id="12" name="Canonical Source"/>
    <x:tableColumn id="13" name="Release Gate"/>
    <x:tableColumn id="14" name="Progress %"/>
    <x:tableColumn id="15" name="Ready?"/>
    <x:tableColumn id="16" name="Blocker / Decision"/>
    <x:tableColumn id="17" name="Sprint"/>
    <x:tableColumn id="18" name="Release Slice"/>
    <x:tableColumn id="19" name="Test IDs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urchOSReleaseGates" displayName="ChurchOSReleaseGates" ref="A1:F11" headerRowCount="1" totalsRowCount="0" totalsRowShown="0">
  <x:tableColumns count="6">
    <x:tableColumn id="1" name="Gate"/>
    <x:tableColumn id="2" name="Name"/>
    <x:tableColumn id="3" name="PASS Condition"/>
    <x:tableColumn id="4" name="Status"/>
    <x:tableColumn id="5" name="Owner"/>
    <x:tableColumn id="6" name="Evidence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DecisionRegistry" displayName="OpenDecisionRegistry" ref="A1:F11" headerRowCount="1" totalsRowCount="0" totalsRowShown="0">
  <x:tableColumns count="6">
    <x:tableColumn id="1" name="ID"/>
    <x:tableColumn id="2" name="Decision"/>
    <x:tableColumn id="3" name="Owner Domain"/>
    <x:tableColumn id="4" name="Freeze Rule"/>
    <x:tableColumn id="5" name="Status"/>
    <x:tableColumn id="6" name="Linked Tick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Map" displayName="SourceMap" ref="A1:D15" headerRowCount="1" totalsRowCount="0" totalsRowShown="0">
  <x:tableColumns count="4">
    <x:tableColumn id="1" name="ID"/>
    <x:tableColumn id="2" name="Artifact"/>
    <x:tableColumn id="3" name="Role"/>
    <x:tableColumn id="4" name="Backlog 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bf12f27abb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2924af7b3414d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e384b2c3fd41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2bbd8232a6d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ab37b4af594437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6" hidden="0" customWidth="1"/>
    <x:col min="4" max="4" width="32" hidden="0" customWidth="1"/>
    <x:col min="5" max="5" width="9" hidden="0" customWidth="1"/>
    <x:col min="6" max="6" width="13" hidden="0" customWidth="1"/>
    <x:col min="7" max="7" width="18" hidden="0" customWidth="1"/>
    <x:col min="8" max="8" width="20" hidden="0" customWidth="1"/>
    <x:col min="9" max="9" width="22" hidden="0" customWidth="1"/>
    <x:col min="10" max="10" width="34" hidden="0" customWidth="1"/>
    <x:col min="11" max="11" width="38" hidden="0" customWidth="1"/>
    <x:col min="12" max="12" width="34" hidden="0" customWidth="1"/>
    <x:col min="13" max="13" width="15" hidden="0" customWidth="1"/>
    <x:col min="14" max="14" width="11" hidden="0" customWidth="1"/>
    <x:col min="15" max="15" width="9" hidden="0" customWidth="1"/>
    <x:col min="16" max="16" width="28" hidden="0" customWidth="1"/>
    <x:col min="17" max="17" width="10" hidden="0" customWidth="1"/>
    <x:col min="18" max="18" width="14" hidden="0" customWidth="1"/>
    <x:col min="19" max="19" width="22" hidden="0" customWidth="1"/>
    <x:col min="20" max="20" width="24" hidden="0" customWidth="1"/>
  </x:cols>
  <x:sheetData>
    <x:row r="1" ht="38" customHeight="1">
      <x:c r="A1" s="8" t="str">
        <x:v>Story ID</x:v>
      </x:c>
      <x:c r="B1" s="8" t="str">
        <x:v>Epic</x:v>
      </x:c>
      <x:c r="C1" s="8" t="str">
        <x:v>Epic Name</x:v>
      </x:c>
      <x:c r="D1" s="8" t="str">
        <x:v>Story</x:v>
      </x:c>
      <x:c r="E1" s="8" t="str">
        <x:v>Priority</x:v>
      </x:c>
      <x:c r="F1" s="8" t="str">
        <x:v>Status</x:v>
      </x:c>
      <x:c r="G1" s="8" t="str">
        <x:v>Owner</x:v>
      </x:c>
      <x:c r="H1" s="8" t="str">
        <x:v>Workstream</x:v>
      </x:c>
      <x:c r="I1" s="8" t="str">
        <x:v>Dependencies</x:v>
      </x:c>
      <x:c r="J1" s="8" t="str">
        <x:v>Build / Deliverable</x:v>
      </x:c>
      <x:c r="K1" s="8" t="str">
        <x:v>Acceptance Criteria</x:v>
      </x:c>
      <x:c r="L1" s="8" t="str">
        <x:v>Canonical Source</x:v>
      </x:c>
      <x:c r="M1" s="8" t="str">
        <x:v>Release Gate</x:v>
      </x:c>
      <x:c r="N1" s="8" t="str">
        <x:v>Progress %</x:v>
      </x:c>
      <x:c r="O1" s="8" t="str">
        <x:v>Ready?</x:v>
      </x:c>
      <x:c r="P1" s="8" t="str">
        <x:v>Blocker / Decision</x:v>
      </x:c>
      <x:c r="Q1" s="8" t="str">
        <x:v>Sprint</x:v>
      </x:c>
      <x:c r="R1" s="8" t="str">
        <x:v>Release Slice</x:v>
      </x:c>
      <x:c r="S1" s="8" t="str">
        <x:v>Test IDs</x:v>
      </x:c>
      <x:c r="T1" s="8" t="str">
        <x:v>Notes</x:v>
      </x:c>
    </x:row>
    <x:row r="2" ht="30" customHeight="1">
      <x:c r="A2" s="20" t="str">
        <x:v>C0-S1</x:v>
      </x:c>
      <x:c r="B2" s="20" t="str">
        <x:v>C0</x:v>
      </x:c>
      <x:c r="C2" s="20" t="str">
        <x:v>Handoff &amp; Contract Freeze</x:v>
      </x:c>
      <x:c r="D2" s="20" t="str">
        <x:v>Import 1.2 handoff sources</x:v>
      </x:c>
      <x:c r="E2" s="20" t="str">
        <x:v>P0</x:v>
      </x:c>
      <x:c r="F2" s="20" t="str">
        <x:v>Not Started</x:v>
      </x:c>
      <x:c r="G2" s="20" t="str">
        <x:v>Tech Lead</x:v>
      </x:c>
      <x:c r="H2" s="20" t="str">
        <x:v>Architecture</x:v>
      </x:c>
      <x:c r="I2" s="20" t="str">
        <x:v>None</x:v>
      </x:c>
      <x:c r="J2" s="20" t="str">
        <x:v>CO-00~CO-12 approved snapshots in repo</x:v>
      </x:c>
      <x:c r="K2" s="20" t="str">
        <x:v>Artifact versions and paths match DGM 1.2</x:v>
      </x:c>
      <x:c r="L2" s="20" t="str">
        <x:v>DGM Handoff 1.2</x:v>
      </x:c>
      <x:c r="M2" s="20" t="str">
        <x:v>CO-G01</x:v>
      </x:c>
      <x:c r="N2" s="22" t="n">
        <x:v>0</x:v>
      </x:c>
      <x:c r="O2" s="20" t="str">
        <x:v>No</x:v>
      </x:c>
      <x:c r="P2" s="20" t="str"/>
      <x:c r="Q2" s="20" t="str">
        <x:v>CS0</x:v>
      </x:c>
      <x:c r="R2" s="20" t="str">
        <x:v>Foundation</x:v>
      </x:c>
      <x:c r="S2" s="20" t="str">
        <x:v>CI-01~10</x:v>
      </x:c>
      <x:c r="T2" s="20" t="str"/>
    </x:row>
    <x:row r="3" ht="30" customHeight="1">
      <x:c r="A3" s="20" t="str">
        <x:v>C0-S2</x:v>
      </x:c>
      <x:c r="B3" s="20" t="str">
        <x:v>C0</x:v>
      </x:c>
      <x:c r="C3" s="20" t="str">
        <x:v>Handoff &amp; Contract Freeze</x:v>
      </x:c>
      <x:c r="D3" s="20" t="str">
        <x:v>DEV-002 physical diff</x:v>
      </x:c>
      <x:c r="E3" s="20" t="str">
        <x:v>P0</x:v>
      </x:c>
      <x:c r="F3" s="20" t="str">
        <x:v>Not Started</x:v>
      </x:c>
      <x:c r="G3" s="20" t="str">
        <x:v>Data Architect</x:v>
      </x:c>
      <x:c r="H3" s="20" t="str">
        <x:v>DB</x:v>
      </x:c>
      <x:c r="I3" s="20" t="str">
        <x:v>C0-S1</x:v>
      </x:c>
      <x:c r="J3" s="20" t="str">
        <x:v>Compare DEV-002 physical names to DEV-002A delta</x:v>
      </x:c>
      <x:c r="K3" s="20" t="str">
        <x:v>No destructive ALTER generated from guessed names</x:v>
      </x:c>
      <x:c r="L3" s="20" t="str">
        <x:v>DEV-002A Schema Delta 2.0</x:v>
      </x:c>
      <x:c r="M3" s="20" t="str">
        <x:v>CO-G02</x:v>
      </x:c>
      <x:c r="N3" s="22" t="n">
        <x:v>0</x:v>
      </x:c>
      <x:c r="O3" s="20" t="str">
        <x:v>No</x:v>
      </x:c>
      <x:c r="P3" s="20" t="str">
        <x:v>DEV-002 physical exact names</x:v>
      </x:c>
      <x:c r="Q3" s="20" t="str">
        <x:v>CS0</x:v>
      </x:c>
      <x:c r="R3" s="20" t="str">
        <x:v>Foundation</x:v>
      </x:c>
      <x:c r="S3" s="20" t="str">
        <x:v>D2-T16</x:v>
      </x:c>
      <x:c r="T3" s="20" t="str"/>
    </x:row>
    <x:row r="4" ht="30" customHeight="1">
      <x:c r="A4" s="20" t="str">
        <x:v>C0-S3</x:v>
      </x:c>
      <x:c r="B4" s="20" t="str">
        <x:v>C0</x:v>
      </x:c>
      <x:c r="C4" s="20" t="str">
        <x:v>Handoff &amp; Contract Freeze</x:v>
      </x:c>
      <x:c r="D4" s="20" t="str">
        <x:v>OpenAPI delta CI import</x:v>
      </x:c>
      <x:c r="E4" s="20" t="str">
        <x:v>P0</x:v>
      </x:c>
      <x:c r="F4" s="20" t="str">
        <x:v>Not Started</x:v>
      </x:c>
      <x:c r="G4" s="20" t="str">
        <x:v>API Lead</x:v>
      </x:c>
      <x:c r="H4" s="20" t="str">
        <x:v>API</x:v>
      </x:c>
      <x:c r="I4" s="20" t="str">
        <x:v>C0-S1</x:v>
      </x:c>
      <x:c r="J4" s="20" t="str">
        <x:v>Load OpenAPI 3.1 delta into validation pipeline</x:v>
      </x:c>
      <x:c r="K4" s="20" t="str">
        <x:v>Parse/lint passes; forbidden bridge fields linted</x:v>
      </x:c>
      <x:c r="L4" s="20" t="str">
        <x:v>Church OS OpenAPI Delta 2.0</x:v>
      </x:c>
      <x:c r="M4" s="20" t="str">
        <x:v>CO-G03</x:v>
      </x:c>
      <x:c r="N4" s="22" t="n">
        <x:v>0</x:v>
      </x:c>
      <x:c r="O4" s="20" t="str">
        <x:v>No</x:v>
      </x:c>
      <x:c r="P4" s="20" t="str"/>
      <x:c r="Q4" s="20" t="str">
        <x:v>CS0</x:v>
      </x:c>
      <x:c r="R4" s="20" t="str">
        <x:v>Foundation</x:v>
      </x:c>
      <x:c r="S4" s="20" t="str">
        <x:v>API-G01~10</x:v>
      </x:c>
      <x:c r="T4" s="20" t="str"/>
    </x:row>
    <x:row r="5" ht="30" customHeight="1">
      <x:c r="A5" s="20" t="str">
        <x:v>C0-S4</x:v>
      </x:c>
      <x:c r="B5" s="20" t="str">
        <x:v>C0</x:v>
      </x:c>
      <x:c r="C5" s="20" t="str">
        <x:v>Handoff &amp; Contract Freeze</x:v>
      </x:c>
      <x:c r="D5" s="20" t="str">
        <x:v>Church OS 2.0 CI gate</x:v>
      </x:c>
      <x:c r="E5" s="20" t="str">
        <x:v>P0</x:v>
      </x:c>
      <x:c r="F5" s="20" t="str">
        <x:v>Not Started</x:v>
      </x:c>
      <x:c r="G5" s="20" t="str">
        <x:v>QA Lead</x:v>
      </x:c>
      <x:c r="H5" s="20" t="str">
        <x:v>DevOps/QA</x:v>
      </x:c>
      <x:c r="I5" s="20" t="str">
        <x:v>C0-S2; C0-S3</x:v>
      </x:c>
      <x:c r="J5" s="20" t="str">
        <x:v>CI-01~CI-10 pipeline stages</x:v>
      </x:c>
      <x:c r="K5" s="20" t="str">
        <x:v>Required blocker failure prevents release</x:v>
      </x:c>
      <x:c r="L5" s="20" t="str">
        <x:v>DGM Handoff 1.2</x:v>
      </x:c>
      <x:c r="M5" s="20" t="str">
        <x:v>CO-G10</x:v>
      </x:c>
      <x:c r="N5" s="22" t="n">
        <x:v>0</x:v>
      </x:c>
      <x:c r="O5" s="20" t="str">
        <x:v>No</x:v>
      </x:c>
      <x:c r="P5" s="20" t="str"/>
      <x:c r="Q5" s="20" t="str">
        <x:v>CS0</x:v>
      </x:c>
      <x:c r="R5" s="20" t="str">
        <x:v>Foundation</x:v>
      </x:c>
      <x:c r="S5" s="20" t="str">
        <x:v>CI-01~10</x:v>
      </x:c>
      <x:c r="T5" s="20" t="str"/>
    </x:row>
    <x:row r="6" ht="30" customHeight="1">
      <x:c r="A6" s="20" t="str">
        <x:v>C0-S5</x:v>
      </x:c>
      <x:c r="B6" s="20" t="str">
        <x:v>C0</x:v>
      </x:c>
      <x:c r="C6" s="20" t="str">
        <x:v>Handoff &amp; Contract Freeze</x:v>
      </x:c>
      <x:c r="D6" s="20" t="str">
        <x:v>Open decision registry owners</x:v>
      </x:c>
      <x:c r="E6" s="20" t="str">
        <x:v>P0</x:v>
      </x:c>
      <x:c r="F6" s="20" t="str">
        <x:v>Not Started</x:v>
      </x:c>
      <x:c r="G6" s="20" t="str">
        <x:v>Product Lead</x:v>
      </x:c>
      <x:c r="H6" s="20" t="str">
        <x:v>Governance</x:v>
      </x:c>
      <x:c r="I6" s="20" t="str">
        <x:v>C0-S1</x:v>
      </x:c>
      <x:c r="J6" s="20" t="str">
        <x:v>OD-01~OD-10 owner + decision route</x:v>
      </x:c>
      <x:c r="K6" s="20" t="str">
        <x:v>No OPEN item silently hard-coded</x:v>
      </x:c>
      <x:c r="L6" s="20" t="str">
        <x:v>DGM Handoff 1.2</x:v>
      </x:c>
      <x:c r="M6" s="20" t="str">
        <x:v>CO-G10</x:v>
      </x:c>
      <x:c r="N6" s="22" t="n">
        <x:v>0</x:v>
      </x:c>
      <x:c r="O6" s="20" t="str">
        <x:v>No</x:v>
      </x:c>
      <x:c r="P6" s="20" t="str">
        <x:v>OD-01~OD-10</x:v>
      </x:c>
      <x:c r="Q6" s="20" t="str">
        <x:v>CS0</x:v>
      </x:c>
      <x:c r="R6" s="20" t="str">
        <x:v>Foundation</x:v>
      </x:c>
      <x:c r="S6" s="20" t="str"/>
      <x:c r="T6" s="20" t="str"/>
    </x:row>
    <x:row r="7" ht="30" customHeight="1">
      <x:c r="A7" s="20" t="str">
        <x:v>C1-S1</x:v>
      </x:c>
      <x:c r="B7" s="20" t="str">
        <x:v>C1</x:v>
      </x:c>
      <x:c r="C7" s="20" t="str">
        <x:v>Church Core · People &amp; Groups</x:v>
      </x:c>
      <x:c r="D7" s="20" t="str">
        <x:v>Tenant/campus hierarchy</x:v>
      </x:c>
      <x:c r="E7" s="20" t="str">
        <x:v>P0</x:v>
      </x:c>
      <x:c r="F7" s="20" t="str">
        <x:v>Not Started</x:v>
      </x:c>
      <x:c r="G7" s="20" t="str">
        <x:v>Backend Lead</x:v>
      </x:c>
      <x:c r="H7" s="20" t="str">
        <x:v>Backend/DB</x:v>
      </x:c>
      <x:c r="I7" s="20" t="str">
        <x:v>C0-S2</x:v>
      </x:c>
      <x:c r="J7" s="20" t="str">
        <x:v>church_tenant/campus 2.0 alignment</x:v>
      </x:c>
      <x:c r="K7" s="20" t="str">
        <x:v>tenant isolation and parent hierarchy preserved</x:v>
      </x:c>
      <x:c r="L7" s="20" t="str">
        <x:v>PRS 2.0; UXIA 2.0; DEV-002A</x:v>
      </x:c>
      <x:c r="M7" s="20" t="str">
        <x:v>CO-G04</x:v>
      </x:c>
      <x:c r="N7" s="22" t="n">
        <x:v>0</x:v>
      </x:c>
      <x:c r="O7" s="20" t="str">
        <x:v>No</x:v>
      </x:c>
      <x:c r="P7" s="20" t="str"/>
      <x:c r="Q7" s="20" t="str">
        <x:v>CS1</x:v>
      </x:c>
      <x:c r="R7" s="20" t="str">
        <x:v>MVP-A</x:v>
      </x:c>
      <x:c r="S7" s="20" t="str">
        <x:v>D2-T11</x:v>
      </x:c>
      <x:c r="T7" s="20" t="str"/>
    </x:row>
    <x:row r="8" ht="30" customHeight="1">
      <x:c r="A8" s="20" t="str">
        <x:v>C1-S2</x:v>
      </x:c>
      <x:c r="B8" s="20" t="str">
        <x:v>C1</x:v>
      </x:c>
      <x:c r="C8" s="20" t="str">
        <x:v>Church Core · People &amp; Groups</x:v>
      </x:c>
      <x:c r="D8" s="20" t="str">
        <x:v>People/household operational SoR</x:v>
      </x:c>
      <x:c r="E8" s="20" t="str">
        <x:v>P0</x:v>
      </x:c>
      <x:c r="F8" s="20" t="str">
        <x:v>Not Started</x:v>
      </x:c>
      <x:c r="G8" s="20" t="str">
        <x:v>Backend Lead</x:v>
      </x:c>
      <x:c r="H8" s="20" t="str">
        <x:v>Backend/DB</x:v>
      </x:c>
      <x:c r="I8" s="20" t="str">
        <x:v>C1-S1</x:v>
      </x:c>
      <x:c r="J8" s="20" t="str">
        <x:v>person/household/member records</x:v>
      </x:c>
      <x:c r="K8" s="20" t="str">
        <x:v>Real identity remains L3 SoR</x:v>
      </x:c>
      <x:c r="L8" s="20" t="str">
        <x:v>PRS 2.0; UXIA 2.0; DEV-002A</x:v>
      </x:c>
      <x:c r="M8" s="20" t="str">
        <x:v>CO-G04</x:v>
      </x:c>
      <x:c r="N8" s="22" t="n">
        <x:v>0</x:v>
      </x:c>
      <x:c r="O8" s="20" t="str">
        <x:v>No</x:v>
      </x:c>
      <x:c r="P8" s="20" t="str"/>
      <x:c r="Q8" s="20" t="str">
        <x:v>CS1</x:v>
      </x:c>
      <x:c r="R8" s="20" t="str">
        <x:v>MVP-A</x:v>
      </x:c>
      <x:c r="S8" s="20" t="str">
        <x:v>D2-T01</x:v>
      </x:c>
      <x:c r="T8" s="20" t="str"/>
    </x:row>
    <x:row r="9" ht="30" customHeight="1">
      <x:c r="A9" s="20" t="str">
        <x:v>C1-S3</x:v>
      </x:c>
      <x:c r="B9" s="20" t="str">
        <x:v>C1</x:v>
      </x:c>
      <x:c r="C9" s="20" t="str">
        <x:v>Church Core · People &amp; Groups</x:v>
      </x:c>
      <x:c r="D9" s="20" t="str">
        <x:v>Role assignment scope</x:v>
      </x:c>
      <x:c r="E9" s="20" t="str">
        <x:v>P0</x:v>
      </x:c>
      <x:c r="F9" s="20" t="str">
        <x:v>Not Started</x:v>
      </x:c>
      <x:c r="G9" s="20" t="str">
        <x:v>Security Lead</x:v>
      </x:c>
      <x:c r="H9" s="20" t="str">
        <x:v>Security/API</x:v>
      </x:c>
      <x:c r="I9" s="20" t="str">
        <x:v>C1-S2</x:v>
      </x:c>
      <x:c r="J9" s="20" t="str">
        <x:v>role assignment with tenant/campus scope</x:v>
      </x:c>
      <x:c r="K9" s="20" t="str">
        <x:v>Client tenant value never authorizes by itself</x:v>
      </x:c>
      <x:c r="L9" s="20" t="str">
        <x:v>PRS 2.0; UXIA 2.0; DEV-002A</x:v>
      </x:c>
      <x:c r="M9" s="20" t="str">
        <x:v>CO-G04</x:v>
      </x:c>
      <x:c r="N9" s="22" t="n">
        <x:v>0</x:v>
      </x:c>
      <x:c r="O9" s="20" t="str">
        <x:v>No</x:v>
      </x:c>
      <x:c r="P9" s="20" t="str"/>
      <x:c r="Q9" s="20" t="str">
        <x:v>CS1</x:v>
      </x:c>
      <x:c r="R9" s="20" t="str">
        <x:v>MVP-A</x:v>
      </x:c>
      <x:c r="S9" s="20" t="str">
        <x:v>D2-T11</x:v>
      </x:c>
      <x:c r="T9" s="20" t="str"/>
    </x:row>
    <x:row r="10" ht="30" customHeight="1">
      <x:c r="A10" s="20" t="str">
        <x:v>C1-S4</x:v>
      </x:c>
      <x:c r="B10" s="20" t="str">
        <x:v>C1</x:v>
      </x:c>
      <x:c r="C10" s="20" t="str">
        <x:v>Church Core · People &amp; Groups</x:v>
      </x:c>
      <x:c r="D10" s="20" t="str">
        <x:v>Groups membership</x:v>
      </x:c>
      <x:c r="E10" s="20" t="str">
        <x:v>P0</x:v>
      </x:c>
      <x:c r="F10" s="20" t="str">
        <x:v>Not Started</x:v>
      </x:c>
      <x:c r="G10" s="20" t="str">
        <x:v>Backend Lead</x:v>
      </x:c>
      <x:c r="H10" s="20" t="str">
        <x:v>Backend/API</x:v>
      </x:c>
      <x:c r="I10" s="20" t="str">
        <x:v>C1-S2</x:v>
      </x:c>
      <x:c r="J10" s="20" t="str">
        <x:v>group entity/membership lifecycle</x:v>
      </x:c>
      <x:c r="K10" s="20" t="str">
        <x:v>Tenant-scoped membership works</x:v>
      </x:c>
      <x:c r="L10" s="20" t="str">
        <x:v>PRS 2.0; UXIA 2.0; DEV-002A</x:v>
      </x:c>
      <x:c r="M10" s="20" t="str">
        <x:v>CO-G04</x:v>
      </x:c>
      <x:c r="N10" s="22" t="n">
        <x:v>0</x:v>
      </x:c>
      <x:c r="O10" s="20" t="str">
        <x:v>No</x:v>
      </x:c>
      <x:c r="P10" s="20" t="str"/>
      <x:c r="Q10" s="20" t="str">
        <x:v>CS1</x:v>
      </x:c>
      <x:c r="R10" s="20" t="str">
        <x:v>MVP-A</x:v>
      </x:c>
      <x:c r="S10" s="20" t="str"/>
      <x:c r="T10" s="20" t="str"/>
    </x:row>
    <x:row r="11" ht="30" customHeight="1">
      <x:c r="A11" s="20" t="str">
        <x:v>C1-S5</x:v>
      </x:c>
      <x:c r="B11" s="20" t="str">
        <x:v>C1</x:v>
      </x:c>
      <x:c r="C11" s="20" t="str">
        <x:v>Church Core · People &amp; Groups</x:v>
      </x:c>
      <x:c r="D11" s="20" t="str">
        <x:v>Group meeting/attendance</x:v>
      </x:c>
      <x:c r="E11" s="20" t="str">
        <x:v>P0</x:v>
      </x:c>
      <x:c r="F11" s="20" t="str">
        <x:v>Not Started</x:v>
      </x:c>
      <x:c r="G11" s="20" t="str">
        <x:v>Backend Lead</x:v>
      </x:c>
      <x:c r="H11" s="20" t="str">
        <x:v>Backend/API</x:v>
      </x:c>
      <x:c r="I11" s="20" t="str">
        <x:v>C1-S4</x:v>
      </x:c>
      <x:c r="J11" s="20" t="str">
        <x:v>meeting + attendance records</x:v>
      </x:c>
      <x:c r="K11" s="20" t="str">
        <x:v>Core works without CHGO Engine</x:v>
      </x:c>
      <x:c r="L11" s="20" t="str">
        <x:v>PRS 2.0; UXIA 2.0; DEV-002A</x:v>
      </x:c>
      <x:c r="M11" s="20" t="str">
        <x:v>CO-G04</x:v>
      </x:c>
      <x:c r="N11" s="22" t="n">
        <x:v>0</x:v>
      </x:c>
      <x:c r="O11" s="20" t="str">
        <x:v>No</x:v>
      </x:c>
      <x:c r="P11" s="20" t="str"/>
      <x:c r="Q11" s="20" t="str">
        <x:v>CS1</x:v>
      </x:c>
      <x:c r="R11" s="20" t="str">
        <x:v>MVP-A</x:v>
      </x:c>
      <x:c r="S11" s="20" t="str">
        <x:v>IC-T13</x:v>
      </x:c>
      <x:c r="T11" s="20" t="str"/>
    </x:row>
    <x:row r="12" ht="30" customHeight="1">
      <x:c r="A12" s="20" t="str">
        <x:v>C1-S6</x:v>
      </x:c>
      <x:c r="B12" s="20" t="str">
        <x:v>C1</x:v>
      </x:c>
      <x:c r="C12" s="20" t="str">
        <x:v>Church Core · People &amp; Groups</x:v>
      </x:c>
      <x:c r="D12" s="20" t="str">
        <x:v>Operational People Journey</x:v>
      </x:c>
      <x:c r="E12" s="20" t="str">
        <x:v>P0</x:v>
      </x:c>
      <x:c r="F12" s="20" t="str">
        <x:v>Not Started</x:v>
      </x:c>
      <x:c r="G12" s="20" t="str">
        <x:v>Product/Backend</x:v>
      </x:c>
      <x:c r="H12" s="20" t="str">
        <x:v>Backend/API</x:v>
      </x:c>
      <x:c r="I12" s="20" t="str">
        <x:v>C1-S2</x:v>
      </x:c>
      <x:c r="J12" s="20" t="str">
        <x:v>person_journey_state/event</x:v>
      </x:c>
      <x:c r="K12" s="20" t="str">
        <x:v>No maturity_score/faith_level/spiritual_rank</x:v>
      </x:c>
      <x:c r="L12" s="20" t="str">
        <x:v>PRS 2.0; UXIA 2.0; DEV-002A</x:v>
      </x:c>
      <x:c r="M12" s="20" t="str">
        <x:v>CO-G04</x:v>
      </x:c>
      <x:c r="N12" s="22" t="n">
        <x:v>0</x:v>
      </x:c>
      <x:c r="O12" s="20" t="str">
        <x:v>No</x:v>
      </x:c>
      <x:c r="P12" s="20" t="str"/>
      <x:c r="Q12" s="20" t="str">
        <x:v>CS1</x:v>
      </x:c>
      <x:c r="R12" s="20" t="str">
        <x:v>MVP-A</x:v>
      </x:c>
      <x:c r="S12" s="20" t="str">
        <x:v>D2-T01; D2-T02</x:v>
      </x:c>
      <x:c r="T12" s="20" t="str"/>
    </x:row>
    <x:row r="13" ht="30" customHeight="1">
      <x:c r="A13" s="20" t="str">
        <x:v>C2-S1</x:v>
      </x:c>
      <x:c r="B13" s="20" t="str">
        <x:v>C2</x:v>
      </x:c>
      <x:c r="C13" s="20" t="str">
        <x:v>Today · Worship · Events · Content</x:v>
      </x:c>
      <x:c r="D13" s="20" t="str">
        <x:v>Member Today read model</x:v>
      </x:c>
      <x:c r="E13" s="20" t="str">
        <x:v>P0</x:v>
      </x:c>
      <x:c r="F13" s="20" t="str">
        <x:v>Not Started</x:v>
      </x:c>
      <x:c r="G13" s="20" t="str">
        <x:v>Backend Lead</x:v>
      </x:c>
      <x:c r="H13" s="20" t="str">
        <x:v>Backend/API</x:v>
      </x:c>
      <x:c r="I13" s="20" t="str">
        <x:v>C1-S2</x:v>
      </x:c>
      <x:c r="J13" s="20" t="str">
        <x:v>today_action_source/state</x:v>
      </x:c>
      <x:c r="K13" s="20" t="str">
        <x:v>Today is read model, not duplicate SoR</x:v>
      </x:c>
      <x:c r="L13" s="20" t="str">
        <x:v>PRS 2.0; UXIA 2.0; DEV-002A</x:v>
      </x:c>
      <x:c r="M13" s="20" t="str">
        <x:v>CO-G04</x:v>
      </x:c>
      <x:c r="N13" s="22" t="n">
        <x:v>0</x:v>
      </x:c>
      <x:c r="O13" s="20" t="str">
        <x:v>No</x:v>
      </x:c>
      <x:c r="P13" s="20" t="str"/>
      <x:c r="Q13" s="20" t="str">
        <x:v>CS2</x:v>
      </x:c>
      <x:c r="R13" s="20" t="str">
        <x:v>MVP-A</x:v>
      </x:c>
      <x:c r="S13" s="20" t="str">
        <x:v>D2-T14; UX-A01</x:v>
      </x:c>
      <x:c r="T13" s="20" t="str"/>
    </x:row>
    <x:row r="14" ht="30" customHeight="1">
      <x:c r="A14" s="20" t="str">
        <x:v>C2-S2</x:v>
      </x:c>
      <x:c r="B14" s="20" t="str">
        <x:v>C2</x:v>
      </x:c>
      <x:c r="C14" s="20" t="str">
        <x:v>Today · Worship · Events · Content</x:v>
      </x:c>
      <x:c r="D14" s="20" t="str">
        <x:v>Today source adapters</x:v>
      </x:c>
      <x:c r="E14" s="20" t="str">
        <x:v>P0</x:v>
      </x:c>
      <x:c r="F14" s="20" t="str">
        <x:v>Not Started</x:v>
      </x:c>
      <x:c r="G14" s="20" t="str">
        <x:v>Backend Lead</x:v>
      </x:c>
      <x:c r="H14" s="20" t="str">
        <x:v>Backend</x:v>
      </x:c>
      <x:c r="I14" s="20" t="str">
        <x:v>C2-S1</x:v>
      </x:c>
      <x:c r="J14" s="20" t="str">
        <x:v>care/gathering/formation/mission/serve/update adapters</x:v>
      </x:c>
      <x:c r="K14" s="20" t="str">
        <x:v>Operational sources continue if L2 unavailable</x:v>
      </x:c>
      <x:c r="L14" s="20" t="str">
        <x:v>PRS 2.0; UXIA 2.0; DEV-002A</x:v>
      </x:c>
      <x:c r="M14" s="20" t="str">
        <x:v>CO-G04</x:v>
      </x:c>
      <x:c r="N14" s="22" t="n">
        <x:v>0</x:v>
      </x:c>
      <x:c r="O14" s="20" t="str">
        <x:v>No</x:v>
      </x:c>
      <x:c r="P14" s="20" t="str"/>
      <x:c r="Q14" s="20" t="str">
        <x:v>CS2</x:v>
      </x:c>
      <x:c r="R14" s="20" t="str">
        <x:v>MVP-A</x:v>
      </x:c>
      <x:c r="S14" s="20" t="str">
        <x:v>API-G07</x:v>
      </x:c>
      <x:c r="T14" s="20" t="str"/>
    </x:row>
    <x:row r="15" ht="30" customHeight="1">
      <x:c r="A15" s="20" t="str">
        <x:v>C2-S3</x:v>
      </x:c>
      <x:c r="B15" s="20" t="str">
        <x:v>C2</x:v>
      </x:c>
      <x:c r="C15" s="20" t="str">
        <x:v>Today · Worship · Events · Content</x:v>
      </x:c>
      <x:c r="D15" s="20" t="str">
        <x:v>Role-aware navigation</x:v>
      </x:c>
      <x:c r="E15" s="20" t="str">
        <x:v>P0</x:v>
      </x:c>
      <x:c r="F15" s="20" t="str">
        <x:v>Not Started</x:v>
      </x:c>
      <x:c r="G15" s="20" t="str">
        <x:v>Frontend Lead</x:v>
      </x:c>
      <x:c r="H15" s="20" t="str">
        <x:v>Frontend</x:v>
      </x:c>
      <x:c r="I15" s="20" t="str">
        <x:v>C1-S3</x:v>
      </x:c>
      <x:c r="J15" s="20" t="str">
        <x:v>member/leader/pastor/admin nav config</x:v>
      </x:c>
      <x:c r="K15" s="20" t="str">
        <x:v>Navigation differs by role and scope</x:v>
      </x:c>
      <x:c r="L15" s="20" t="str">
        <x:v>PRS 2.0; UXIA 2.0; DEV-002A</x:v>
      </x:c>
      <x:c r="M15" s="20" t="str">
        <x:v>CO-G04</x:v>
      </x:c>
      <x:c r="N15" s="22" t="n">
        <x:v>0</x:v>
      </x:c>
      <x:c r="O15" s="20" t="str">
        <x:v>No</x:v>
      </x:c>
      <x:c r="P15" s="20" t="str"/>
      <x:c r="Q15" s="20" t="str">
        <x:v>CS2</x:v>
      </x:c>
      <x:c r="R15" s="20" t="str">
        <x:v>MVP-A</x:v>
      </x:c>
      <x:c r="S15" s="20" t="str">
        <x:v>UX-A02</x:v>
      </x:c>
      <x:c r="T15" s="20" t="str"/>
    </x:row>
    <x:row r="16" ht="30" customHeight="1">
      <x:c r="A16" s="20" t="str">
        <x:v>C2-S4</x:v>
      </x:c>
      <x:c r="B16" s="20" t="str">
        <x:v>C2</x:v>
      </x:c>
      <x:c r="C16" s="20" t="str">
        <x:v>Today · Worship · Events · Content</x:v>
      </x:c>
      <x:c r="D16" s="20" t="str">
        <x:v>Worship/service flow</x:v>
      </x:c>
      <x:c r="E16" s="20" t="str">
        <x:v>P0</x:v>
      </x:c>
      <x:c r="F16" s="20" t="str">
        <x:v>Not Started</x:v>
      </x:c>
      <x:c r="G16" s="20" t="str">
        <x:v>Product/Backend</x:v>
      </x:c>
      <x:c r="H16" s="20" t="str">
        <x:v>Frontend/Backend</x:v>
      </x:c>
      <x:c r="I16" s="20" t="str">
        <x:v>C1-S2</x:v>
      </x:c>
      <x:c r="J16" s="20" t="str">
        <x:v>worship/service schedule + participation</x:v>
      </x:c>
      <x:c r="K16" s="20" t="str">
        <x:v>Core operation independent of CHGO</x:v>
      </x:c>
      <x:c r="L16" s="20" t="str">
        <x:v>PRS 2.0; UXIA 2.0; DEV-002A</x:v>
      </x:c>
      <x:c r="M16" s="20" t="str">
        <x:v>CO-G04</x:v>
      </x:c>
      <x:c r="N16" s="22" t="n">
        <x:v>0</x:v>
      </x:c>
      <x:c r="O16" s="20" t="str">
        <x:v>No</x:v>
      </x:c>
      <x:c r="P16" s="20" t="str"/>
      <x:c r="Q16" s="20" t="str">
        <x:v>CS2</x:v>
      </x:c>
      <x:c r="R16" s="20" t="str">
        <x:v>MVP-A</x:v>
      </x:c>
      <x:c r="S16" s="20" t="str">
        <x:v>GATE-PROD-01</x:v>
      </x:c>
      <x:c r="T16" s="20" t="str"/>
    </x:row>
    <x:row r="17" ht="30" customHeight="1">
      <x:c r="A17" s="20" t="str">
        <x:v>C2-S5</x:v>
      </x:c>
      <x:c r="B17" s="20" t="str">
        <x:v>C2</x:v>
      </x:c>
      <x:c r="C17" s="20" t="str">
        <x:v>Today · Worship · Events · Content</x:v>
      </x:c>
      <x:c r="D17" s="20" t="str">
        <x:v>Events flow</x:v>
      </x:c>
      <x:c r="E17" s="20" t="str">
        <x:v>P0</x:v>
      </x:c>
      <x:c r="F17" s="20" t="str">
        <x:v>Not Started</x:v>
      </x:c>
      <x:c r="G17" s="20" t="str">
        <x:v>Product/Backend</x:v>
      </x:c>
      <x:c r="H17" s="20" t="str">
        <x:v>Frontend/Backend</x:v>
      </x:c>
      <x:c r="I17" s="20" t="str">
        <x:v>C1-S2</x:v>
      </x:c>
      <x:c r="J17" s="20" t="str">
        <x:v>event list/detail/registration state</x:v>
      </x:c>
      <x:c r="K17" s="20" t="str">
        <x:v>Tenant/role boundary pass</x:v>
      </x:c>
      <x:c r="L17" s="20" t="str">
        <x:v>PRS 2.0; UXIA 2.0; DEV-002A</x:v>
      </x:c>
      <x:c r="M17" s="20" t="str">
        <x:v>CO-G04</x:v>
      </x:c>
      <x:c r="N17" s="22" t="n">
        <x:v>0</x:v>
      </x:c>
      <x:c r="O17" s="20" t="str">
        <x:v>No</x:v>
      </x:c>
      <x:c r="P17" s="20" t="str"/>
      <x:c r="Q17" s="20" t="str">
        <x:v>CS2</x:v>
      </x:c>
      <x:c r="R17" s="20" t="str">
        <x:v>MVP-A</x:v>
      </x:c>
      <x:c r="S17" s="20" t="str">
        <x:v>GATE-PROD-02</x:v>
      </x:c>
      <x:c r="T17" s="20" t="str"/>
    </x:row>
    <x:row r="18" ht="30" customHeight="1">
      <x:c r="A18" s="20" t="str">
        <x:v>C2-S6</x:v>
      </x:c>
      <x:c r="B18" s="20" t="str">
        <x:v>C2</x:v>
      </x:c>
      <x:c r="C18" s="20" t="str">
        <x:v>Today · Worship · Events · Content</x:v>
      </x:c>
      <x:c r="D18" s="20" t="str">
        <x:v>Communication delivery</x:v>
      </x:c>
      <x:c r="E18" s="20" t="str">
        <x:v>P0</x:v>
      </x:c>
      <x:c r="F18" s="20" t="str">
        <x:v>Not Started</x:v>
      </x:c>
      <x:c r="G18" s="20" t="str">
        <x:v>Backend Lead</x:v>
      </x:c>
      <x:c r="H18" s="20" t="str">
        <x:v>Backend/Integration</x:v>
      </x:c>
      <x:c r="I18" s="20" t="str">
        <x:v>C1-S3</x:v>
      </x:c>
      <x:c r="J18" s="20" t="str">
        <x:v>announcement/notification delivery</x:v>
      </x:c>
      <x:c r="K18" s="20" t="str">
        <x:v>Sensitive preview does not duplicate protected content</x:v>
      </x:c>
      <x:c r="L18" s="20" t="str">
        <x:v>PRS 2.0; UXIA 2.0; DEV-002A</x:v>
      </x:c>
      <x:c r="M18" s="20" t="str">
        <x:v>CO-G04</x:v>
      </x:c>
      <x:c r="N18" s="22" t="n">
        <x:v>0</x:v>
      </x:c>
      <x:c r="O18" s="20" t="str">
        <x:v>No</x:v>
      </x:c>
      <x:c r="P18" s="20" t="str"/>
      <x:c r="Q18" s="20" t="str">
        <x:v>CS2</x:v>
      </x:c>
      <x:c r="R18" s="20" t="str">
        <x:v>MVP-A</x:v>
      </x:c>
      <x:c r="S18" s="20" t="str">
        <x:v>D2-T15</x:v>
      </x:c>
      <x:c r="T18" s="20" t="str"/>
    </x:row>
    <x:row r="19" ht="30" customHeight="1">
      <x:c r="A19" s="20" t="str">
        <x:v>C2-S7</x:v>
      </x:c>
      <x:c r="B19" s="20" t="str">
        <x:v>C2</x:v>
      </x:c>
      <x:c r="C19" s="20" t="str">
        <x:v>Today · Worship · Events · Content</x:v>
      </x:c>
      <x:c r="D19" s="20" t="str">
        <x:v>Content module</x:v>
      </x:c>
      <x:c r="E19" s="20" t="str">
        <x:v>P0</x:v>
      </x:c>
      <x:c r="F19" s="20" t="str">
        <x:v>Not Started</x:v>
      </x:c>
      <x:c r="G19" s="20" t="str">
        <x:v>Product Lead</x:v>
      </x:c>
      <x:c r="H19" s="20" t="str">
        <x:v>Frontend/Backend</x:v>
      </x:c>
      <x:c r="I19" s="20" t="str">
        <x:v>C1-S1</x:v>
      </x:c>
      <x:c r="J19" s="20" t="str">
        <x:v>content item/list/detail</x:v>
      </x:c>
      <x:c r="K19" s="20" t="str">
        <x:v>Tenant ownership and publish state preserved</x:v>
      </x:c>
      <x:c r="L19" s="20" t="str">
        <x:v>PRS 2.0; UXIA 2.0; DEV-002A</x:v>
      </x:c>
      <x:c r="M19" s="20" t="str">
        <x:v>CO-G04</x:v>
      </x:c>
      <x:c r="N19" s="22" t="n">
        <x:v>0</x:v>
      </x:c>
      <x:c r="O19" s="20" t="str">
        <x:v>No</x:v>
      </x:c>
      <x:c r="P19" s="20" t="str"/>
      <x:c r="Q19" s="20" t="str">
        <x:v>CS2</x:v>
      </x:c>
      <x:c r="R19" s="20" t="str">
        <x:v>MVP-A</x:v>
      </x:c>
      <x:c r="S19" s="20" t="str"/>
      <x:c r="T19" s="20" t="str"/>
    </x:row>
    <x:row r="20" ht="30" customHeight="1">
      <x:c r="A20" s="20" t="str">
        <x:v>C3-S1</x:v>
      </x:c>
      <x:c r="B20" s="20" t="str">
        <x:v>C3</x:v>
      </x:c>
      <x:c r="C20" s="20" t="str">
        <x:v>Care · Prayer · Privacy</x:v>
      </x:c>
      <x:c r="D20" s="20" t="str">
        <x:v>Care request visibility</x:v>
      </x:c>
      <x:c r="E20" s="20" t="str">
        <x:v>P0</x:v>
      </x:c>
      <x:c r="F20" s="20" t="str">
        <x:v>Not Started</x:v>
      </x:c>
      <x:c r="G20" s="20" t="str">
        <x:v>Privacy Lead</x:v>
      </x:c>
      <x:c r="H20" s="20" t="str">
        <x:v>Frontend/Backend</x:v>
      </x:c>
      <x:c r="I20" s="20" t="str">
        <x:v>C1-S3</x:v>
      </x:c>
      <x:c r="J20" s="20" t="str">
        <x:v>care_request visibility/sensitivity</x:v>
      </x:c>
      <x:c r="K20" s="20" t="str">
        <x:v>Visibility shown before submit</x:v>
      </x:c>
      <x:c r="L20" s="20" t="str">
        <x:v>PRS 2.0; UXIA 2.0; DEV-002A</x:v>
      </x:c>
      <x:c r="M20" s="20" t="str">
        <x:v>CO-G05</x:v>
      </x:c>
      <x:c r="N20" s="22" t="n">
        <x:v>0</x:v>
      </x:c>
      <x:c r="O20" s="20" t="str">
        <x:v>No</x:v>
      </x:c>
      <x:c r="P20" s="20" t="str"/>
      <x:c r="Q20" s="20" t="str">
        <x:v>CS2</x:v>
      </x:c>
      <x:c r="R20" s="20" t="str">
        <x:v>MVP-A</x:v>
      </x:c>
      <x:c r="S20" s="20" t="str">
        <x:v>UX-A03</x:v>
      </x:c>
      <x:c r="T20" s="20" t="str"/>
    </x:row>
    <x:row r="21" ht="30" customHeight="1">
      <x:c r="A21" s="20" t="str">
        <x:v>C3-S2</x:v>
      </x:c>
      <x:c r="B21" s="20" t="str">
        <x:v>C3</x:v>
      </x:c>
      <x:c r="C21" s="20" t="str">
        <x:v>Care · Prayer · Privacy</x:v>
      </x:c>
      <x:c r="D21" s="20" t="str">
        <x:v>Protected care note separation</x:v>
      </x:c>
      <x:c r="E21" s="20" t="str">
        <x:v>P0</x:v>
      </x:c>
      <x:c r="F21" s="20" t="str">
        <x:v>Not Started</x:v>
      </x:c>
      <x:c r="G21" s="20" t="str">
        <x:v>Privacy Lead</x:v>
      </x:c>
      <x:c r="H21" s="20" t="str">
        <x:v>DB/Security</x:v>
      </x:c>
      <x:c r="I21" s="20" t="str">
        <x:v>C3-S1</x:v>
      </x:c>
      <x:c r="J21" s="20" t="str">
        <x:v>care_protected_note restricted boundary</x:v>
      </x:c>
      <x:c r="K21" s="20" t="str">
        <x:v>Pastor overview excludes protected note</x:v>
      </x:c>
      <x:c r="L21" s="20" t="str">
        <x:v>PRS 2.0; UXIA 2.0; DEV-002A</x:v>
      </x:c>
      <x:c r="M21" s="20" t="str">
        <x:v>CO-G05</x:v>
      </x:c>
      <x:c r="N21" s="22" t="n">
        <x:v>0</x:v>
      </x:c>
      <x:c r="O21" s="20" t="str">
        <x:v>No</x:v>
      </x:c>
      <x:c r="P21" s="20" t="str"/>
      <x:c r="Q21" s="20" t="str">
        <x:v>CS2</x:v>
      </x:c>
      <x:c r="R21" s="20" t="str">
        <x:v>MVP-A</x:v>
      </x:c>
      <x:c r="S21" s="20" t="str">
        <x:v>D2-T09</x:v>
      </x:c>
      <x:c r="T21" s="20" t="str"/>
    </x:row>
    <x:row r="22" ht="30" customHeight="1">
      <x:c r="A22" s="20" t="str">
        <x:v>C3-S3</x:v>
      </x:c>
      <x:c r="B22" s="20" t="str">
        <x:v>C3</x:v>
      </x:c>
      <x:c r="C22" s="20" t="str">
        <x:v>Care · Prayer · Privacy</x:v>
      </x:c>
      <x:c r="D22" s="20" t="str">
        <x:v>Care assignment lifecycle</x:v>
      </x:c>
      <x:c r="E22" s="20" t="str">
        <x:v>P0</x:v>
      </x:c>
      <x:c r="F22" s="20" t="str">
        <x:v>Not Started</x:v>
      </x:c>
      <x:c r="G22" s="20" t="str">
        <x:v>Backend Lead</x:v>
      </x:c>
      <x:c r="H22" s="20" t="str">
        <x:v>Backend/API</x:v>
      </x:c>
      <x:c r="I22" s="20" t="str">
        <x:v>C3-S1</x:v>
      </x:c>
      <x:c r="J22" s="20" t="str">
        <x:v>care_assignment + handoff</x:v>
      </x:c>
      <x:c r="K22" s="20" t="str">
        <x:v>Only assigned/authorized roles access protected scope</x:v>
      </x:c>
      <x:c r="L22" s="20" t="str">
        <x:v>PRS 2.0; UXIA 2.0; DEV-002A</x:v>
      </x:c>
      <x:c r="M22" s="20" t="str">
        <x:v>CO-G05</x:v>
      </x:c>
      <x:c r="N22" s="22" t="n">
        <x:v>0</x:v>
      </x:c>
      <x:c r="O22" s="20" t="str">
        <x:v>No</x:v>
      </x:c>
      <x:c r="P22" s="20" t="str"/>
      <x:c r="Q22" s="20" t="str">
        <x:v>CS2</x:v>
      </x:c>
      <x:c r="R22" s="20" t="str">
        <x:v>MVP-A</x:v>
      </x:c>
      <x:c r="S22" s="20" t="str">
        <x:v>IC-G02</x:v>
      </x:c>
      <x:c r="T22" s="20" t="str"/>
    </x:row>
    <x:row r="23" ht="30" customHeight="1">
      <x:c r="A23" s="20" t="str">
        <x:v>C3-S4</x:v>
      </x:c>
      <x:c r="B23" s="20" t="str">
        <x:v>C3</x:v>
      </x:c>
      <x:c r="C23" s="20" t="str">
        <x:v>Care · Prayer · Privacy</x:v>
      </x:c>
      <x:c r="D23" s="20" t="str">
        <x:v>Prayer request visibility</x:v>
      </x:c>
      <x:c r="E23" s="20" t="str">
        <x:v>P0</x:v>
      </x:c>
      <x:c r="F23" s="20" t="str">
        <x:v>Not Started</x:v>
      </x:c>
      <x:c r="G23" s="20" t="str">
        <x:v>Privacy Lead</x:v>
      </x:c>
      <x:c r="H23" s="20" t="str">
        <x:v>Frontend/Backend</x:v>
      </x:c>
      <x:c r="I23" s="20" t="str">
        <x:v>C1-S3</x:v>
      </x:c>
      <x:c r="J23" s="20" t="str">
        <x:v>prayer_request visibility policy</x:v>
      </x:c>
      <x:c r="K23" s="20" t="str">
        <x:v>Visibility/processing scope explicit</x:v>
      </x:c>
      <x:c r="L23" s="20" t="str">
        <x:v>PRS 2.0; UXIA 2.0; DEV-002A</x:v>
      </x:c>
      <x:c r="M23" s="20" t="str">
        <x:v>CO-G05</x:v>
      </x:c>
      <x:c r="N23" s="22" t="n">
        <x:v>0</x:v>
      </x:c>
      <x:c r="O23" s="20" t="str">
        <x:v>No</x:v>
      </x:c>
      <x:c r="P23" s="20" t="str"/>
      <x:c r="Q23" s="20" t="str">
        <x:v>CS2</x:v>
      </x:c>
      <x:c r="R23" s="20" t="str">
        <x:v>MVP-A</x:v>
      </x:c>
      <x:c r="S23" s="20" t="str">
        <x:v>UX-A03</x:v>
      </x:c>
      <x:c r="T23" s="20" t="str"/>
    </x:row>
    <x:row r="24" ht="30" customHeight="1">
      <x:c r="A24" s="20" t="str">
        <x:v>C3-S5</x:v>
      </x:c>
      <x:c r="B24" s="20" t="str">
        <x:v>C3</x:v>
      </x:c>
      <x:c r="C24" s="20" t="str">
        <x:v>Care · Prayer · Privacy</x:v>
      </x:c>
      <x:c r="D24" s="20" t="str">
        <x:v>Prayer response/follow-up</x:v>
      </x:c>
      <x:c r="E24" s="20" t="str">
        <x:v>P0</x:v>
      </x:c>
      <x:c r="F24" s="20" t="str">
        <x:v>Not Started</x:v>
      </x:c>
      <x:c r="G24" s="20" t="str">
        <x:v>Backend Lead</x:v>
      </x:c>
      <x:c r="H24" s="20" t="str">
        <x:v>Backend/API</x:v>
      </x:c>
      <x:c r="I24" s="20" t="str">
        <x:v>C3-S4</x:v>
      </x:c>
      <x:c r="J24" s="20" t="str">
        <x:v>prayer_response lifecycle</x:v>
      </x:c>
      <x:c r="K24" s="20" t="str">
        <x:v>No protected raw body in general audit</x:v>
      </x:c>
      <x:c r="L24" s="20" t="str">
        <x:v>PRS 2.0; UXIA 2.0; DEV-002A</x:v>
      </x:c>
      <x:c r="M24" s="20" t="str">
        <x:v>CO-G05</x:v>
      </x:c>
      <x:c r="N24" s="22" t="n">
        <x:v>0</x:v>
      </x:c>
      <x:c r="O24" s="20" t="str">
        <x:v>No</x:v>
      </x:c>
      <x:c r="P24" s="20" t="str"/>
      <x:c r="Q24" s="20" t="str">
        <x:v>CS2</x:v>
      </x:c>
      <x:c r="R24" s="20" t="str">
        <x:v>MVP-A</x:v>
      </x:c>
      <x:c r="S24" s="20" t="str">
        <x:v>D2-T15</x:v>
      </x:c>
      <x:c r="T24" s="20" t="str"/>
    </x:row>
    <x:row r="25" ht="30" customHeight="1">
      <x:c r="A25" s="20" t="str">
        <x:v>C3-S6</x:v>
      </x:c>
      <x:c r="B25" s="20" t="str">
        <x:v>C3</x:v>
      </x:c>
      <x:c r="C25" s="20" t="str">
        <x:v>Care · Prayer · Privacy</x:v>
      </x:c>
      <x:c r="D25" s="20" t="str">
        <x:v>Sensitive access audit</x:v>
      </x:c>
      <x:c r="E25" s="20" t="str">
        <x:v>P0</x:v>
      </x:c>
      <x:c r="F25" s="20" t="str">
        <x:v>Not Started</x:v>
      </x:c>
      <x:c r="G25" s="20" t="str">
        <x:v>Security Lead</x:v>
      </x:c>
      <x:c r="H25" s="20" t="str">
        <x:v>Security/DB</x:v>
      </x:c>
      <x:c r="I25" s="20" t="str">
        <x:v>C3-S2; C3-S4</x:v>
      </x:c>
      <x:c r="J25" s="20" t="str">
        <x:v>append-oriented sensitive_access_audit</x:v>
      </x:c>
      <x:c r="K25" s="20" t="str">
        <x:v>No raw sensitive text logged</x:v>
      </x:c>
      <x:c r="L25" s="20" t="str">
        <x:v>PRS 2.0; UXIA 2.0; DEV-002A</x:v>
      </x:c>
      <x:c r="M25" s="20" t="str">
        <x:v>CO-G05</x:v>
      </x:c>
      <x:c r="N25" s="22" t="n">
        <x:v>0</x:v>
      </x:c>
      <x:c r="O25" s="20" t="str">
        <x:v>No</x:v>
      </x:c>
      <x:c r="P25" s="20" t="str"/>
      <x:c r="Q25" s="20" t="str">
        <x:v>CS2</x:v>
      </x:c>
      <x:c r="R25" s="20" t="str">
        <x:v>MVP-A</x:v>
      </x:c>
      <x:c r="S25" s="20" t="str">
        <x:v>D2-T15</x:v>
      </x:c>
      <x:c r="T25" s="20" t="str"/>
    </x:row>
    <x:row r="26" ht="30" customHeight="1">
      <x:c r="A26" s="20" t="str">
        <x:v>C4-S1</x:v>
      </x:c>
      <x:c r="B26" s="20" t="str">
        <x:v>C4</x:v>
      </x:c>
      <x:c r="C26" s="20" t="str">
        <x:v>Formation Journey</x:v>
      </x:c>
      <x:c r="D26" s="20" t="str">
        <x:v>Formation Pack registry</x:v>
      </x:c>
      <x:c r="E26" s="20" t="str">
        <x:v>P0</x:v>
      </x:c>
      <x:c r="F26" s="20" t="str">
        <x:v>Not Started</x:v>
      </x:c>
      <x:c r="G26" s="20" t="str">
        <x:v>Domain/Backend</x:v>
      </x:c>
      <x:c r="H26" s="20" t="str">
        <x:v>Backend/DB</x:v>
      </x:c>
      <x:c r="I26" s="20" t="str">
        <x:v>C1-S1</x:v>
      </x:c>
      <x:c r="J26" s="20" t="str">
        <x:v>provider-neutral formation_pack</x:v>
      </x:c>
      <x:c r="K26" s="20" t="str">
        <x:v>Pack not hard-coded to JesusLife</x:v>
      </x:c>
      <x:c r="L26" s="20" t="str">
        <x:v>PRS 2.0; UXIA 2.0; DEV-002A</x:v>
      </x:c>
      <x:c r="M26" s="20" t="str">
        <x:v>CO-G06</x:v>
      </x:c>
      <x:c r="N26" s="22" t="n">
        <x:v>0</x:v>
      </x:c>
      <x:c r="O26" s="20" t="str">
        <x:v>No</x:v>
      </x:c>
      <x:c r="P26" s="20" t="str"/>
      <x:c r="Q26" s="20" t="str">
        <x:v>CS3</x:v>
      </x:c>
      <x:c r="R26" s="20" t="str">
        <x:v>MVP-B</x:v>
      </x:c>
      <x:c r="S26" s="20" t="str"/>
      <x:c r="T26" s="20" t="str"/>
    </x:row>
    <x:row r="27" ht="30" customHeight="1">
      <x:c r="A27" s="20" t="str">
        <x:v>C4-S2</x:v>
      </x:c>
      <x:c r="B27" s="20" t="str">
        <x:v>C4</x:v>
      </x:c>
      <x:c r="C27" s="20" t="str">
        <x:v>Formation Journey</x:v>
      </x:c>
      <x:c r="D27" s="20" t="str">
        <x:v>Journey/unit/activity model</x:v>
      </x:c>
      <x:c r="E27" s="20" t="str">
        <x:v>P0</x:v>
      </x:c>
      <x:c r="F27" s="20" t="str">
        <x:v>Not Started</x:v>
      </x:c>
      <x:c r="G27" s="20" t="str">
        <x:v>Backend Lead</x:v>
      </x:c>
      <x:c r="H27" s="20" t="str">
        <x:v>Backend/API</x:v>
      </x:c>
      <x:c r="I27" s="20" t="str">
        <x:v>C4-S1</x:v>
      </x:c>
      <x:c r="J27" s="20" t="str">
        <x:v>formation_journey/unit/activity</x:v>
      </x:c>
      <x:c r="K27" s="20" t="str">
        <x:v>Versioned ordered journey works</x:v>
      </x:c>
      <x:c r="L27" s="20" t="str">
        <x:v>PRS 2.0; UXIA 2.0; DEV-002A</x:v>
      </x:c>
      <x:c r="M27" s="20" t="str">
        <x:v>CO-G06</x:v>
      </x:c>
      <x:c r="N27" s="22" t="n">
        <x:v>0</x:v>
      </x:c>
      <x:c r="O27" s="20" t="str">
        <x:v>No</x:v>
      </x:c>
      <x:c r="P27" s="20" t="str"/>
      <x:c r="Q27" s="20" t="str">
        <x:v>CS3</x:v>
      </x:c>
      <x:c r="R27" s="20" t="str">
        <x:v>MVP-B</x:v>
      </x:c>
      <x:c r="S27" s="20" t="str"/>
      <x:c r="T27" s="20" t="str"/>
    </x:row>
    <x:row r="28" ht="30" customHeight="1">
      <x:c r="A28" s="20" t="str">
        <x:v>C4-S3</x:v>
      </x:c>
      <x:c r="B28" s="20" t="str">
        <x:v>C4</x:v>
      </x:c>
      <x:c r="C28" s="20" t="str">
        <x:v>Formation Journey</x:v>
      </x:c>
      <x:c r="D28" s="20" t="str">
        <x:v>Enrollment/progress</x:v>
      </x:c>
      <x:c r="E28" s="20" t="str">
        <x:v>P0</x:v>
      </x:c>
      <x:c r="F28" s="20" t="str">
        <x:v>Not Started</x:v>
      </x:c>
      <x:c r="G28" s="20" t="str">
        <x:v>Backend Lead</x:v>
      </x:c>
      <x:c r="H28" s="20" t="str">
        <x:v>Backend/API</x:v>
      </x:c>
      <x:c r="I28" s="20" t="str">
        <x:v>C4-S2</x:v>
      </x:c>
      <x:c r="J28" s="20" t="str">
        <x:v>enrollment + activity_progress</x:v>
      </x:c>
      <x:c r="K28" s="20" t="str">
        <x:v>Completion is process state only</x:v>
      </x:c>
      <x:c r="L28" s="20" t="str">
        <x:v>PRS 2.0; UXIA 2.0; DEV-002A</x:v>
      </x:c>
      <x:c r="M28" s="20" t="str">
        <x:v>CO-G06</x:v>
      </x:c>
      <x:c r="N28" s="22" t="n">
        <x:v>0</x:v>
      </x:c>
      <x:c r="O28" s="20" t="str">
        <x:v>No</x:v>
      </x:c>
      <x:c r="P28" s="20" t="str"/>
      <x:c r="Q28" s="20" t="str">
        <x:v>CS3</x:v>
      </x:c>
      <x:c r="R28" s="20" t="str">
        <x:v>MVP-B</x:v>
      </x:c>
      <x:c r="S28" s="20" t="str">
        <x:v>D2-T02</x:v>
      </x:c>
      <x:c r="T28" s="20" t="str"/>
    </x:row>
    <x:row r="29" ht="30" customHeight="1">
      <x:c r="A29" s="20" t="str">
        <x:v>C4-S4</x:v>
      </x:c>
      <x:c r="B29" s="20" t="str">
        <x:v>C4</x:v>
      </x:c>
      <x:c r="C29" s="20" t="str">
        <x:v>Formation Journey</x:v>
      </x:c>
      <x:c r="D29" s="20" t="str">
        <x:v>Structured reflection</x:v>
      </x:c>
      <x:c r="E29" s="20" t="str">
        <x:v>P0</x:v>
      </x:c>
      <x:c r="F29" s="20" t="str">
        <x:v>Not Started</x:v>
      </x:c>
      <x:c r="G29" s="20" t="str">
        <x:v>Product/Backend</x:v>
      </x:c>
      <x:c r="H29" s="20" t="str">
        <x:v>Frontend/Backend</x:v>
      </x:c>
      <x:c r="I29" s="20" t="str">
        <x:v>C4-S2; C3-S6</x:v>
      </x:c>
      <x:c r="J29" s="20" t="str">
        <x:v>formation_reflection structured derivative</x:v>
      </x:c>
      <x:c r="K29" s="20" t="str">
        <x:v>Protected raw ref separated</x:v>
      </x:c>
      <x:c r="L29" s="20" t="str">
        <x:v>PRS 2.0; UXIA 2.0; DEV-002A</x:v>
      </x:c>
      <x:c r="M29" s="20" t="str">
        <x:v>CO-G06</x:v>
      </x:c>
      <x:c r="N29" s="22" t="n">
        <x:v>0</x:v>
      </x:c>
      <x:c r="O29" s="20" t="str">
        <x:v>No</x:v>
      </x:c>
      <x:c r="P29" s="20" t="str"/>
      <x:c r="Q29" s="20" t="str">
        <x:v>CS3</x:v>
      </x:c>
      <x:c r="R29" s="20" t="str">
        <x:v>MVP-B</x:v>
      </x:c>
      <x:c r="S29" s="20" t="str">
        <x:v>API-G03</x:v>
      </x:c>
      <x:c r="T29" s="20" t="str"/>
    </x:row>
    <x:row r="30" ht="30" customHeight="1">
      <x:c r="A30" s="20" t="str">
        <x:v>C4-S5</x:v>
      </x:c>
      <x:c r="B30" s="20" t="str">
        <x:v>C4</x:v>
      </x:c>
      <x:c r="C30" s="20" t="str">
        <x:v>Formation Journey</x:v>
      </x:c>
      <x:c r="D30" s="20" t="str">
        <x:v>Practice opportunity</x:v>
      </x:c>
      <x:c r="E30" s="20" t="str">
        <x:v>P0</x:v>
      </x:c>
      <x:c r="F30" s="20" t="str">
        <x:v>Not Started</x:v>
      </x:c>
      <x:c r="G30" s="20" t="str">
        <x:v>Measurement Lead</x:v>
      </x:c>
      <x:c r="H30" s="20" t="str">
        <x:v>Backend/API</x:v>
      </x:c>
      <x:c r="I30" s="20" t="str">
        <x:v>C4-S2</x:v>
      </x:c>
      <x:c r="J30" s="20" t="str">
        <x:v>practice_opportunity typed state</x:v>
      </x:c>
      <x:c r="K30" s="20" t="str">
        <x:v>NO_OPPORTUNITY remains explicit</x:v>
      </x:c>
      <x:c r="L30" s="20" t="str">
        <x:v>PRS 2.0; UXIA 2.0; DEV-002A</x:v>
      </x:c>
      <x:c r="M30" s="20" t="str">
        <x:v>CO-G06</x:v>
      </x:c>
      <x:c r="N30" s="22" t="n">
        <x:v>0</x:v>
      </x:c>
      <x:c r="O30" s="20" t="str">
        <x:v>No</x:v>
      </x:c>
      <x:c r="P30" s="20" t="str"/>
      <x:c r="Q30" s="20" t="str">
        <x:v>CS3</x:v>
      </x:c>
      <x:c r="R30" s="20" t="str">
        <x:v>MVP-B</x:v>
      </x:c>
      <x:c r="S30" s="20" t="str">
        <x:v>D2-T04</x:v>
      </x:c>
      <x:c r="T30" s="20" t="str"/>
    </x:row>
    <x:row r="31" ht="30" customHeight="1">
      <x:c r="A31" s="20" t="str">
        <x:v>C4-S6</x:v>
      </x:c>
      <x:c r="B31" s="20" t="str">
        <x:v>C4</x:v>
      </x:c>
      <x:c r="C31" s="20" t="str">
        <x:v>Formation Journey</x:v>
      </x:c>
      <x:c r="D31" s="20" t="str">
        <x:v>Practice record</x:v>
      </x:c>
      <x:c r="E31" s="20" t="str">
        <x:v>P0</x:v>
      </x:c>
      <x:c r="F31" s="20" t="str">
        <x:v>Not Started</x:v>
      </x:c>
      <x:c r="G31" s="20" t="str">
        <x:v>Measurement Lead</x:v>
      </x:c>
      <x:c r="H31" s="20" t="str">
        <x:v>Backend/API</x:v>
      </x:c>
      <x:c r="I31" s="20" t="str">
        <x:v>C4-S5</x:v>
      </x:c>
      <x:c r="J31" s="20" t="str">
        <x:v>practice_record</x:v>
      </x:c>
      <x:c r="K31" s="20" t="str">
        <x:v>Practice does not auto-create outcome improvement</x:v>
      </x:c>
      <x:c r="L31" s="20" t="str">
        <x:v>PRS 2.0; UXIA 2.0; DEV-002A</x:v>
      </x:c>
      <x:c r="M31" s="20" t="str">
        <x:v>CO-G06</x:v>
      </x:c>
      <x:c r="N31" s="22" t="n">
        <x:v>0</x:v>
      </x:c>
      <x:c r="O31" s="20" t="str">
        <x:v>No</x:v>
      </x:c>
      <x:c r="P31" s="20" t="str"/>
      <x:c r="Q31" s="20" t="str">
        <x:v>CS3</x:v>
      </x:c>
      <x:c r="R31" s="20" t="str">
        <x:v>MVP-B</x:v>
      </x:c>
      <x:c r="S31" s="20" t="str">
        <x:v>D2-T03</x:v>
      </x:c>
      <x:c r="T31" s="20" t="str"/>
    </x:row>
    <x:row r="32" ht="30" customHeight="1">
      <x:c r="A32" s="20" t="str">
        <x:v>C4-S7</x:v>
      </x:c>
      <x:c r="B32" s="20" t="str">
        <x:v>C4</x:v>
      </x:c>
      <x:c r="C32" s="20" t="str">
        <x:v>Formation Journey</x:v>
      </x:c>
      <x:c r="D32" s="20" t="str">
        <x:v>Formation UX</x:v>
      </x:c>
      <x:c r="E32" s="20" t="str">
        <x:v>P0</x:v>
      </x:c>
      <x:c r="F32" s="20" t="str">
        <x:v>Not Started</x:v>
      </x:c>
      <x:c r="G32" s="20" t="str">
        <x:v>Frontend Lead</x:v>
      </x:c>
      <x:c r="H32" s="20" t="str">
        <x:v>Frontend</x:v>
      </x:c>
      <x:c r="I32" s="20" t="str">
        <x:v>C4-S3; C4-S6</x:v>
      </x:c>
      <x:c r="J32" s="20" t="str">
        <x:v>journey/unit/practice screens</x:v>
      </x:c>
      <x:c r="K32" s="20" t="str">
        <x:v>No spiritual maturity label</x:v>
      </x:c>
      <x:c r="L32" s="20" t="str">
        <x:v>PRS 2.0; UXIA 2.0; DEV-002A</x:v>
      </x:c>
      <x:c r="M32" s="20" t="str">
        <x:v>CO-G06</x:v>
      </x:c>
      <x:c r="N32" s="22" t="n">
        <x:v>0</x:v>
      </x:c>
      <x:c r="O32" s="20" t="str">
        <x:v>No</x:v>
      </x:c>
      <x:c r="P32" s="20" t="str"/>
      <x:c r="Q32" s="20" t="str">
        <x:v>CS3</x:v>
      </x:c>
      <x:c r="R32" s="20" t="str">
        <x:v>MVP-B</x:v>
      </x:c>
      <x:c r="S32" s="20" t="str">
        <x:v>UX-A04</x:v>
      </x:c>
      <x:c r="T32" s="20" t="str"/>
    </x:row>
    <x:row r="33" ht="30" customHeight="1">
      <x:c r="A33" s="20" t="str">
        <x:v>C5-S1</x:v>
      </x:c>
      <x:c r="B33" s="20" t="str">
        <x:v>C5</x:v>
      </x:c>
      <x:c r="C33" s="20" t="str">
        <x:v>Mission · Serve</x:v>
      </x:c>
      <x:c r="D33" s="20" t="str">
        <x:v>Mission program/run</x:v>
      </x:c>
      <x:c r="E33" s="20" t="str">
        <x:v>P0</x:v>
      </x:c>
      <x:c r="F33" s="20" t="str">
        <x:v>Not Started</x:v>
      </x:c>
      <x:c r="G33" s="20" t="str">
        <x:v>Backend Lead</x:v>
      </x:c>
      <x:c r="H33" s="20" t="str">
        <x:v>Backend/DB</x:v>
      </x:c>
      <x:c r="I33" s="20" t="str">
        <x:v>C1-S1</x:v>
      </x:c>
      <x:c r="J33" s="20" t="str">
        <x:v>mission_program + mission_run</x:v>
      </x:c>
      <x:c r="K33" s="20" t="str">
        <x:v>Reusable definition separated from actual run</x:v>
      </x:c>
      <x:c r="L33" s="20" t="str">
        <x:v>PRS 2.0; UXIA 2.0; DEV-002A</x:v>
      </x:c>
      <x:c r="M33" s="20" t="str">
        <x:v>CO-G06</x:v>
      </x:c>
      <x:c r="N33" s="22" t="n">
        <x:v>0</x:v>
      </x:c>
      <x:c r="O33" s="20" t="str">
        <x:v>No</x:v>
      </x:c>
      <x:c r="P33" s="20" t="str"/>
      <x:c r="Q33" s="20" t="str">
        <x:v>CS3</x:v>
      </x:c>
      <x:c r="R33" s="20" t="str">
        <x:v>MVP-B</x:v>
      </x:c>
      <x:c r="S33" s="20" t="str"/>
      <x:c r="T33" s="20" t="str"/>
    </x:row>
    <x:row r="34" ht="30" customHeight="1">
      <x:c r="A34" s="20" t="str">
        <x:v>C5-S2</x:v>
      </x:c>
      <x:c r="B34" s="20" t="str">
        <x:v>C5</x:v>
      </x:c>
      <x:c r="C34" s="20" t="str">
        <x:v>Mission · Serve</x:v>
      </x:c>
      <x:c r="D34" s="20" t="str">
        <x:v>Mission enrollment</x:v>
      </x:c>
      <x:c r="E34" s="20" t="str">
        <x:v>P0</x:v>
      </x:c>
      <x:c r="F34" s="20" t="str">
        <x:v>Not Started</x:v>
      </x:c>
      <x:c r="G34" s="20" t="str">
        <x:v>Backend Lead</x:v>
      </x:c>
      <x:c r="H34" s="20" t="str">
        <x:v>Backend/API</x:v>
      </x:c>
      <x:c r="I34" s="20" t="str">
        <x:v>C5-S1</x:v>
      </x:c>
      <x:c r="J34" s="20" t="str">
        <x:v>mission_enrollment lifecycle</x:v>
      </x:c>
      <x:c r="K34" s="20" t="str">
        <x:v>Opt-in/required policy represented explicitly</x:v>
      </x:c>
      <x:c r="L34" s="20" t="str">
        <x:v>PRS 2.0; UXIA 2.0; DEV-002A</x:v>
      </x:c>
      <x:c r="M34" s="20" t="str">
        <x:v>CO-G06</x:v>
      </x:c>
      <x:c r="N34" s="22" t="n">
        <x:v>0</x:v>
      </x:c>
      <x:c r="O34" s="20" t="str">
        <x:v>No</x:v>
      </x:c>
      <x:c r="P34" s="20" t="str"/>
      <x:c r="Q34" s="20" t="str">
        <x:v>CS3</x:v>
      </x:c>
      <x:c r="R34" s="20" t="str">
        <x:v>MVP-B</x:v>
      </x:c>
      <x:c r="S34" s="20" t="str"/>
      <x:c r="T34" s="20" t="str"/>
    </x:row>
    <x:row r="35" ht="30" customHeight="1">
      <x:c r="A35" s="20" t="str">
        <x:v>C5-S3</x:v>
      </x:c>
      <x:c r="B35" s="20" t="str">
        <x:v>C5</x:v>
      </x:c>
      <x:c r="C35" s="20" t="str">
        <x:v>Mission · Serve</x:v>
      </x:c>
      <x:c r="D35" s="20" t="str">
        <x:v>Mission action definitions</x:v>
      </x:c>
      <x:c r="E35" s="20" t="str">
        <x:v>P0</x:v>
      </x:c>
      <x:c r="F35" s="20" t="str">
        <x:v>Not Started</x:v>
      </x:c>
      <x:c r="G35" s="20" t="str">
        <x:v>Product/Backend</x:v>
      </x:c>
      <x:c r="H35" s="20" t="str">
        <x:v>Backend/API</x:v>
      </x:c>
      <x:c r="I35" s="20" t="str">
        <x:v>C5-S1</x:v>
      </x:c>
      <x:c r="J35" s="20" t="str">
        <x:v>mission_action_definition cadence</x:v>
      </x:c>
      <x:c r="K35" s="20" t="str">
        <x:v>Configurable duration/cadence not theological claim</x:v>
      </x:c>
      <x:c r="L35" s="20" t="str">
        <x:v>PRS 2.0; UXIA 2.0; DEV-002A</x:v>
      </x:c>
      <x:c r="M35" s="20" t="str">
        <x:v>CO-G06</x:v>
      </x:c>
      <x:c r="N35" s="22" t="n">
        <x:v>0</x:v>
      </x:c>
      <x:c r="O35" s="20" t="str">
        <x:v>No</x:v>
      </x:c>
      <x:c r="P35" s="20" t="str"/>
      <x:c r="Q35" s="20" t="str">
        <x:v>CS3</x:v>
      </x:c>
      <x:c r="R35" s="20" t="str">
        <x:v>MVP-B</x:v>
      </x:c>
      <x:c r="S35" s="20" t="str"/>
      <x:c r="T35" s="20" t="str"/>
    </x:row>
    <x:row r="36" ht="30" customHeight="1">
      <x:c r="A36" s="20" t="str">
        <x:v>C5-S4</x:v>
      </x:c>
      <x:c r="B36" s="20" t="str">
        <x:v>C5</x:v>
      </x:c>
      <x:c r="C36" s="20" t="str">
        <x:v>Mission · Serve</x:v>
      </x:c>
      <x:c r="D36" s="20" t="str">
        <x:v>Mission action record</x:v>
      </x:c>
      <x:c r="E36" s="20" t="str">
        <x:v>P0</x:v>
      </x:c>
      <x:c r="F36" s="20" t="str">
        <x:v>Not Started</x:v>
      </x:c>
      <x:c r="G36" s="20" t="str">
        <x:v>Backend Lead</x:v>
      </x:c>
      <x:c r="H36" s="20" t="str">
        <x:v>Backend/API</x:v>
      </x:c>
      <x:c r="I36" s="20" t="str">
        <x:v>C5-S2; C5-S3</x:v>
      </x:c>
      <x:c r="J36" s="20" t="str">
        <x:v>mission_action_record + opportunity state</x:v>
      </x:c>
      <x:c r="K36" s="20" t="str">
        <x:v>No opportunity is not failure</x:v>
      </x:c>
      <x:c r="L36" s="20" t="str">
        <x:v>PRS 2.0; UXIA 2.0; DEV-002A</x:v>
      </x:c>
      <x:c r="M36" s="20" t="str">
        <x:v>CO-G06</x:v>
      </x:c>
      <x:c r="N36" s="22" t="n">
        <x:v>0</x:v>
      </x:c>
      <x:c r="O36" s="20" t="str">
        <x:v>No</x:v>
      </x:c>
      <x:c r="P36" s="20" t="str"/>
      <x:c r="Q36" s="20" t="str">
        <x:v>CS3</x:v>
      </x:c>
      <x:c r="R36" s="20" t="str">
        <x:v>MVP-B</x:v>
      </x:c>
      <x:c r="S36" s="20" t="str">
        <x:v>D2-T04</x:v>
      </x:c>
      <x:c r="T36" s="20" t="str"/>
    </x:row>
    <x:row r="37" ht="30" customHeight="1">
      <x:c r="A37" s="20" t="str">
        <x:v>C5-S5</x:v>
      </x:c>
      <x:c r="B37" s="20" t="str">
        <x:v>C5</x:v>
      </x:c>
      <x:c r="C37" s="20" t="str">
        <x:v>Mission · Serve</x:v>
      </x:c>
      <x:c r="D37" s="20" t="str">
        <x:v>Mission review</x:v>
      </x:c>
      <x:c r="E37" s="20" t="str">
        <x:v>P0</x:v>
      </x:c>
      <x:c r="F37" s="20" t="str">
        <x:v>Not Started</x:v>
      </x:c>
      <x:c r="G37" s="20" t="str">
        <x:v>Product Lead</x:v>
      </x:c>
      <x:c r="H37" s="20" t="str">
        <x:v>Frontend/Backend</x:v>
      </x:c>
      <x:c r="I37" s="20" t="str">
        <x:v>C5-S4</x:v>
      </x:c>
      <x:c r="J37" s="20" t="str">
        <x:v>visibility-scoped mission_review</x:v>
      </x:c>
      <x:c r="K37" s="20" t="str">
        <x:v>Private reflection not auto-shared</x:v>
      </x:c>
      <x:c r="L37" s="20" t="str">
        <x:v>PRS 2.0; UXIA 2.0; DEV-002A</x:v>
      </x:c>
      <x:c r="M37" s="20" t="str">
        <x:v>CO-G06</x:v>
      </x:c>
      <x:c r="N37" s="22" t="n">
        <x:v>0</x:v>
      </x:c>
      <x:c r="O37" s="20" t="str">
        <x:v>No</x:v>
      </x:c>
      <x:c r="P37" s="20" t="str"/>
      <x:c r="Q37" s="20" t="str">
        <x:v>CS3</x:v>
      </x:c>
      <x:c r="R37" s="20" t="str">
        <x:v>MVP-B</x:v>
      </x:c>
      <x:c r="S37" s="20" t="str"/>
      <x:c r="T37" s="20" t="str"/>
    </x:row>
    <x:row r="38" ht="30" customHeight="1">
      <x:c r="A38" s="20" t="str">
        <x:v>C5-S6</x:v>
      </x:c>
      <x:c r="B38" s="20" t="str">
        <x:v>C5</x:v>
      </x:c>
      <x:c r="C38" s="20" t="str">
        <x:v>Mission · Serve</x:v>
      </x:c>
      <x:c r="D38" s="20" t="str">
        <x:v>Serve opportunity/assignment</x:v>
      </x:c>
      <x:c r="E38" s="20" t="str">
        <x:v>P0</x:v>
      </x:c>
      <x:c r="F38" s="20" t="str">
        <x:v>Not Started</x:v>
      </x:c>
      <x:c r="G38" s="20" t="str">
        <x:v>Backend Lead</x:v>
      </x:c>
      <x:c r="H38" s="20" t="str">
        <x:v>Backend/API</x:v>
      </x:c>
      <x:c r="I38" s="20" t="str">
        <x:v>C1-S2</x:v>
      </x:c>
      <x:c r="J38" s="20" t="str">
        <x:v>serve_opportunity/assignment</x:v>
      </x:c>
      <x:c r="K38" s="20" t="str">
        <x:v>Serving count not maturity proxy</x:v>
      </x:c>
      <x:c r="L38" s="20" t="str">
        <x:v>PRS 2.0; UXIA 2.0; DEV-002A</x:v>
      </x:c>
      <x:c r="M38" s="20" t="str">
        <x:v>CO-G06</x:v>
      </x:c>
      <x:c r="N38" s="22" t="n">
        <x:v>0</x:v>
      </x:c>
      <x:c r="O38" s="20" t="str">
        <x:v>No</x:v>
      </x:c>
      <x:c r="P38" s="20" t="str"/>
      <x:c r="Q38" s="20" t="str">
        <x:v>CS3</x:v>
      </x:c>
      <x:c r="R38" s="20" t="str">
        <x:v>MVP-B</x:v>
      </x:c>
      <x:c r="S38" s="20" t="str">
        <x:v>GATE-PROD-04</x:v>
      </x:c>
      <x:c r="T38" s="20" t="str"/>
    </x:row>
    <x:row r="39" ht="30" customHeight="1">
      <x:c r="A39" s="20" t="str">
        <x:v>C5-S7</x:v>
      </x:c>
      <x:c r="B39" s="20" t="str">
        <x:v>C5</x:v>
      </x:c>
      <x:c r="C39" s="20" t="str">
        <x:v>Mission · Serve</x:v>
      </x:c>
      <x:c r="D39" s="20" t="str">
        <x:v>Mission UX</x:v>
      </x:c>
      <x:c r="E39" s="20" t="str">
        <x:v>P0</x:v>
      </x:c>
      <x:c r="F39" s="20" t="str">
        <x:v>Not Started</x:v>
      </x:c>
      <x:c r="G39" s="20" t="str">
        <x:v>Frontend Lead</x:v>
      </x:c>
      <x:c r="H39" s="20" t="str">
        <x:v>Frontend</x:v>
      </x:c>
      <x:c r="I39" s="20" t="str">
        <x:v>C5-S2; C5-S4</x:v>
      </x:c>
      <x:c r="J39" s="20" t="str">
        <x:v>mission today/progress/review screens</x:v>
      </x:c>
      <x:c r="K39" s="20" t="str">
        <x:v>No spiritual leaderboard</x:v>
      </x:c>
      <x:c r="L39" s="20" t="str">
        <x:v>PRS 2.0; UXIA 2.0; DEV-002A</x:v>
      </x:c>
      <x:c r="M39" s="20" t="str">
        <x:v>CO-G06</x:v>
      </x:c>
      <x:c r="N39" s="22" t="n">
        <x:v>0</x:v>
      </x:c>
      <x:c r="O39" s="20" t="str">
        <x:v>No</x:v>
      </x:c>
      <x:c r="P39" s="20" t="str"/>
      <x:c r="Q39" s="20" t="str">
        <x:v>CS3</x:v>
      </x:c>
      <x:c r="R39" s="20" t="str">
        <x:v>MVP-B</x:v>
      </x:c>
      <x:c r="S39" s="20" t="str">
        <x:v>UX-A05</x:v>
      </x:c>
      <x:c r="T39" s="20" t="str"/>
    </x:row>
    <x:row r="40" ht="30" customHeight="1">
      <x:c r="A40" s="20" t="str">
        <x:v>C6-S1</x:v>
      </x:c>
      <x:c r="B40" s="20" t="str">
        <x:v>C6</x:v>
      </x:c>
      <x:c r="C40" s="20" t="str">
        <x:v>Privacy Gateway · CHGO Bridge</x:v>
      </x:c>
      <x:c r="D40" s="20" t="str">
        <x:v>Purpose registry</x:v>
      </x:c>
      <x:c r="E40" s="20" t="str">
        <x:v>P0</x:v>
      </x:c>
      <x:c r="F40" s="20" t="str">
        <x:v>Not Started</x:v>
      </x:c>
      <x:c r="G40" s="20" t="str">
        <x:v>Privacy Lead</x:v>
      </x:c>
      <x:c r="H40" s="20" t="str">
        <x:v>Backend/DB</x:v>
      </x:c>
      <x:c r="I40" s="20" t="str">
        <x:v>C0-S2</x:v>
      </x:c>
      <x:c r="J40" s="20" t="str">
        <x:v>purpose_registry stable codes</x:v>
      </x:c>
      <x:c r="K40" s="20" t="str">
        <x:v>Protected exchange has approved purpose</x:v>
      </x:c>
      <x:c r="L40" s="20" t="str">
        <x:v>Integration Contract 1.0; DEV-002A; OpenAPI Delta 2.0</x:v>
      </x:c>
      <x:c r="M40" s="20" t="str">
        <x:v>CO-G07</x:v>
      </x:c>
      <x:c r="N40" s="22" t="n">
        <x:v>0</x:v>
      </x:c>
      <x:c r="O40" s="20" t="str">
        <x:v>No</x:v>
      </x:c>
      <x:c r="P40" s="20" t="str"/>
      <x:c r="Q40" s="20" t="str">
        <x:v>CS4</x:v>
      </x:c>
      <x:c r="R40" s="20" t="str">
        <x:v>MVP-C</x:v>
      </x:c>
      <x:c r="S40" s="20" t="str">
        <x:v>API-G01</x:v>
      </x:c>
      <x:c r="T40" s="20" t="str"/>
    </x:row>
    <x:row r="41" ht="30" customHeight="1">
      <x:c r="A41" s="20" t="str">
        <x:v>C6-S2</x:v>
      </x:c>
      <x:c r="B41" s="20" t="str">
        <x:v>C6</x:v>
      </x:c>
      <x:c r="C41" s="20" t="str">
        <x:v>Privacy Gateway · CHGO Bridge</x:v>
      </x:c>
      <x:c r="D41" s="20" t="str">
        <x:v>Pseudonym subject link</x:v>
      </x:c>
      <x:c r="E41" s="20" t="str">
        <x:v>P0</x:v>
      </x:c>
      <x:c r="F41" s="20" t="str">
        <x:v>Not Started</x:v>
      </x:c>
      <x:c r="G41" s="20" t="str">
        <x:v>Security Lead</x:v>
      </x:c>
      <x:c r="H41" s="20" t="str">
        <x:v>DB/Security</x:v>
      </x:c>
      <x:c r="I41" s="20" t="str">
        <x:v>C6-S1; C1-S2</x:v>
      </x:c>
      <x:c r="J41" s="20" t="str">
        <x:v>restricted pseudonym_subject_link</x:v>
      </x:c>
      <x:c r="K41" s="20" t="str">
        <x:v>Pastor/leader SELECT denied; no person_id bridge payload</x:v>
      </x:c>
      <x:c r="L41" s="20" t="str">
        <x:v>Integration Contract 1.0; DEV-002A; OpenAPI Delta 2.0</x:v>
      </x:c>
      <x:c r="M41" s="20" t="str">
        <x:v>CO-G07</x:v>
      </x:c>
      <x:c r="N41" s="22" t="n">
        <x:v>0</x:v>
      </x:c>
      <x:c r="O41" s="20" t="str">
        <x:v>No</x:v>
      </x:c>
      <x:c r="P41" s="20" t="str"/>
      <x:c r="Q41" s="20" t="str">
        <x:v>CS4</x:v>
      </x:c>
      <x:c r="R41" s="20" t="str">
        <x:v>MVP-C</x:v>
      </x:c>
      <x:c r="S41" s="20" t="str">
        <x:v>D2-T06; API-G02</x:v>
      </x:c>
      <x:c r="T41" s="20" t="str"/>
    </x:row>
    <x:row r="42" ht="30" customHeight="1">
      <x:c r="A42" s="20" t="str">
        <x:v>C6-S3</x:v>
      </x:c>
      <x:c r="B42" s="20" t="str">
        <x:v>C6</x:v>
      </x:c>
      <x:c r="C42" s="20" t="str">
        <x:v>Privacy Gateway · CHGO Bridge</x:v>
      </x:c>
      <x:c r="D42" s="20" t="str">
        <x:v>Gateway decision pipeline</x:v>
      </x:c>
      <x:c r="E42" s="20" t="str">
        <x:v>P0</x:v>
      </x:c>
      <x:c r="F42" s="20" t="str">
        <x:v>Not Started</x:v>
      </x:c>
      <x:c r="G42" s="20" t="str">
        <x:v>Privacy Lead</x:v>
      </x:c>
      <x:c r="H42" s="20" t="str">
        <x:v>Security/API</x:v>
      </x:c>
      <x:c r="I42" s="20" t="str">
        <x:v>C6-S1; C6-S2</x:v>
      </x:c>
      <x:c r="J42" s="20" t="str">
        <x:v>ALLOW/REDACT/DENY/SUPPRESS/HANDOFF</x:v>
      </x:c>
      <x:c r="K42" s="20" t="str">
        <x:v>tenant/auth/purpose/consent/scope/minimization/audit enforced</x:v>
      </x:c>
      <x:c r="L42" s="20" t="str">
        <x:v>Integration Contract 1.0; DEV-002A; OpenAPI Delta 2.0</x:v>
      </x:c>
      <x:c r="M42" s="20" t="str">
        <x:v>CO-G07</x:v>
      </x:c>
      <x:c r="N42" s="22" t="n">
        <x:v>0</x:v>
      </x:c>
      <x:c r="O42" s="20" t="str">
        <x:v>No</x:v>
      </x:c>
      <x:c r="P42" s="20" t="str"/>
      <x:c r="Q42" s="20" t="str">
        <x:v>CS4</x:v>
      </x:c>
      <x:c r="R42" s="20" t="str">
        <x:v>MVP-C</x:v>
      </x:c>
      <x:c r="S42" s="20" t="str">
        <x:v>IC-G02</x:v>
      </x:c>
      <x:c r="T42" s="20" t="str"/>
    </x:row>
    <x:row r="43" ht="30" customHeight="1">
      <x:c r="A43" s="20" t="str">
        <x:v>C6-S4</x:v>
      </x:c>
      <x:c r="B43" s="20" t="str">
        <x:v>C6</x:v>
      </x:c>
      <x:c r="C43" s="20" t="str">
        <x:v>Privacy Gateway · CHGO Bridge</x:v>
      </x:c>
      <x:c r="D43" s="20" t="str">
        <x:v>Event outbox</x:v>
      </x:c>
      <x:c r="E43" s="20" t="str">
        <x:v>P0</x:v>
      </x:c>
      <x:c r="F43" s="20" t="str">
        <x:v>Not Started</x:v>
      </x:c>
      <x:c r="G43" s="20" t="str">
        <x:v>Backend Lead</x:v>
      </x:c>
      <x:c r="H43" s="20" t="str">
        <x:v>Backend/DB</x:v>
      </x:c>
      <x:c r="I43" s="20" t="str">
        <x:v>C6-S3</x:v>
      </x:c>
      <x:c r="J43" s="20" t="str">
        <x:v>integration_event_outbox</x:v>
      </x:c>
      <x:c r="K43" s="20" t="str">
        <x:v>Idempotent allowlisted minimized payload</x:v>
      </x:c>
      <x:c r="L43" s="20" t="str">
        <x:v>Integration Contract 1.0; DEV-002A; OpenAPI Delta 2.0</x:v>
      </x:c>
      <x:c r="M43" s="20" t="str">
        <x:v>CO-G07</x:v>
      </x:c>
      <x:c r="N43" s="22" t="n">
        <x:v>0</x:v>
      </x:c>
      <x:c r="O43" s="20" t="str">
        <x:v>No</x:v>
      </x:c>
      <x:c r="P43" s="20" t="str"/>
      <x:c r="Q43" s="20" t="str">
        <x:v>CS4</x:v>
      </x:c>
      <x:c r="R43" s="20" t="str">
        <x:v>MVP-C</x:v>
      </x:c>
      <x:c r="S43" s="20" t="str">
        <x:v>D2-T07</x:v>
      </x:c>
      <x:c r="T43" s="20" t="str"/>
    </x:row>
    <x:row r="44" ht="30" customHeight="1">
      <x:c r="A44" s="20" t="str">
        <x:v>C6-S5</x:v>
      </x:c>
      <x:c r="B44" s="20" t="str">
        <x:v>C6</x:v>
      </x:c>
      <x:c r="C44" s="20" t="str">
        <x:v>Privacy Gateway · CHGO Bridge</x:v>
      </x:c>
      <x:c r="D44" s="20" t="str">
        <x:v>Delivery ledger/retry</x:v>
      </x:c>
      <x:c r="E44" s="20" t="str">
        <x:v>P0</x:v>
      </x:c>
      <x:c r="F44" s="20" t="str">
        <x:v>Not Started</x:v>
      </x:c>
      <x:c r="G44" s="20" t="str">
        <x:v>Backend Lead</x:v>
      </x:c>
      <x:c r="H44" s="20" t="str">
        <x:v>Backend/Integration</x:v>
      </x:c>
      <x:c r="I44" s="20" t="str">
        <x:v>C6-S4</x:v>
      </x:c>
      <x:c r="J44" s="20" t="str">
        <x:v>delivery ledger + retry/replay</x:v>
      </x:c>
      <x:c r="K44" s="20" t="str">
        <x:v>L2 failure does not rollback Church transaction</x:v>
      </x:c>
      <x:c r="L44" s="20" t="str">
        <x:v>Integration Contract 1.0; DEV-002A; OpenAPI Delta 2.0</x:v>
      </x:c>
      <x:c r="M44" s="20" t="str">
        <x:v>CO-G07</x:v>
      </x:c>
      <x:c r="N44" s="22" t="n">
        <x:v>0</x:v>
      </x:c>
      <x:c r="O44" s="20" t="str">
        <x:v>No</x:v>
      </x:c>
      <x:c r="P44" s="20" t="str"/>
      <x:c r="Q44" s="20" t="str">
        <x:v>CS4</x:v>
      </x:c>
      <x:c r="R44" s="20" t="str">
        <x:v>MVP-C</x:v>
      </x:c>
      <x:c r="S44" s="20" t="str">
        <x:v>D2-T08; IC-T13</x:v>
      </x:c>
      <x:c r="T44" s="20" t="str"/>
    </x:row>
    <x:row r="45" ht="30" customHeight="1">
      <x:c r="A45" s="20" t="str">
        <x:v>C6-S6</x:v>
      </x:c>
      <x:c r="B45" s="20" t="str">
        <x:v>C6</x:v>
      </x:c>
      <x:c r="C45" s="20" t="str">
        <x:v>Privacy Gateway · CHGO Bridge</x:v>
      </x:c>
      <x:c r="D45" s="20" t="str">
        <x:v>Consent revoke control</x:v>
      </x:c>
      <x:c r="E45" s="20" t="str">
        <x:v>P0</x:v>
      </x:c>
      <x:c r="F45" s="20" t="str">
        <x:v>Not Started</x:v>
      </x:c>
      <x:c r="G45" s="20" t="str">
        <x:v>Privacy Lead</x:v>
      </x:c>
      <x:c r="H45" s="20" t="str">
        <x:v>Backend/API</x:v>
      </x:c>
      <x:c r="I45" s="20" t="str">
        <x:v>C6-S3</x:v>
      </x:c>
      <x:c r="J45" s="20" t="str">
        <x:v>consent.revoked control event</x:v>
      </x:c>
      <x:c r="K45" s="20" t="str">
        <x:v>Future protected enqueue/access denied</x:v>
      </x:c>
      <x:c r="L45" s="20" t="str">
        <x:v>Integration Contract 1.0; DEV-002A; OpenAPI Delta 2.0</x:v>
      </x:c>
      <x:c r="M45" s="20" t="str">
        <x:v>CO-G07</x:v>
      </x:c>
      <x:c r="N45" s="22" t="n">
        <x:v>0</x:v>
      </x:c>
      <x:c r="O45" s="20" t="str">
        <x:v>No</x:v>
      </x:c>
      <x:c r="P45" s="20" t="str"/>
      <x:c r="Q45" s="20" t="str">
        <x:v>CS4</x:v>
      </x:c>
      <x:c r="R45" s="20" t="str">
        <x:v>MVP-C</x:v>
      </x:c>
      <x:c r="S45" s="20" t="str">
        <x:v>D2-T12; IC-T12</x:v>
      </x:c>
      <x:c r="T45" s="20" t="str"/>
    </x:row>
    <x:row r="46" ht="30" customHeight="1">
      <x:c r="A46" s="20" t="str">
        <x:v>C6-S7</x:v>
      </x:c>
      <x:c r="B46" s="20" t="str">
        <x:v>C6</x:v>
      </x:c>
      <x:c r="C46" s="20" t="str">
        <x:v>Privacy Gateway · CHGO Bridge</x:v>
      </x:c>
      <x:c r="D46" s="20" t="str">
        <x:v>Subject deletion control</x:v>
      </x:c>
      <x:c r="E46" s="20" t="str">
        <x:v>P0</x:v>
      </x:c>
      <x:c r="F46" s="20" t="str">
        <x:v>Not Started</x:v>
      </x:c>
      <x:c r="G46" s="20" t="str">
        <x:v>Privacy Lead</x:v>
      </x:c>
      <x:c r="H46" s="20" t="str">
        <x:v>Backend/API</x:v>
      </x:c>
      <x:c r="I46" s="20" t="str">
        <x:v>C6-S3</x:v>
      </x:c>
      <x:c r="J46" s="20" t="str">
        <x:v>subject.deleted propagation</x:v>
      </x:c>
      <x:c r="K46" s="20" t="str">
        <x:v>Deletion/revocation lineage auditable</x:v>
      </x:c>
      <x:c r="L46" s="20" t="str">
        <x:v>Integration Contract 1.0; DEV-002A; OpenAPI Delta 2.0</x:v>
      </x:c>
      <x:c r="M46" s="20" t="str">
        <x:v>CO-G07</x:v>
      </x:c>
      <x:c r="N46" s="22" t="n">
        <x:v>0</x:v>
      </x:c>
      <x:c r="O46" s="20" t="str">
        <x:v>No</x:v>
      </x:c>
      <x:c r="P46" s="20" t="str"/>
      <x:c r="Q46" s="20" t="str">
        <x:v>CS4</x:v>
      </x:c>
      <x:c r="R46" s="20" t="str">
        <x:v>MVP-C</x:v>
      </x:c>
      <x:c r="S46" s="20" t="str"/>
      <x:c r="T46" s="20" t="str"/>
    </x:row>
    <x:row r="47" ht="30" customHeight="1">
      <x:c r="A47" s="20" t="str">
        <x:v>C6-S8</x:v>
      </x:c>
      <x:c r="B47" s="20" t="str">
        <x:v>C6</x:v>
      </x:c>
      <x:c r="C47" s="20" t="str">
        <x:v>Privacy Gateway · CHGO Bridge</x:v>
      </x:c>
      <x:c r="D47" s="20" t="str">
        <x:v>Safety handoff override</x:v>
      </x:c>
      <x:c r="E47" s="20" t="str">
        <x:v>P0</x:v>
      </x:c>
      <x:c r="F47" s="20" t="str">
        <x:v>Not Started</x:v>
      </x:c>
      <x:c r="G47" s="20" t="str">
        <x:v>Safety Lead</x:v>
      </x:c>
      <x:c r="H47" s="20" t="str">
        <x:v>Backend/Safety</x:v>
      </x:c>
      <x:c r="I47" s="20" t="str">
        <x:v>C6-S3</x:v>
      </x:c>
      <x:c r="J47" s="20" t="str">
        <x:v>safety.handoff.requested</x:v>
      </x:c>
      <x:c r="K47" s="20" t="str">
        <x:v>HANDOFF overrides growth flow</x:v>
      </x:c>
      <x:c r="L47" s="20" t="str">
        <x:v>Integration Contract 1.0; DEV-002A; OpenAPI Delta 2.0</x:v>
      </x:c>
      <x:c r="M47" s="20" t="str">
        <x:v>CO-G07</x:v>
      </x:c>
      <x:c r="N47" s="22" t="n">
        <x:v>0</x:v>
      </x:c>
      <x:c r="O47" s="20" t="str">
        <x:v>No</x:v>
      </x:c>
      <x:c r="P47" s="20" t="str"/>
      <x:c r="Q47" s="20" t="str">
        <x:v>CS4</x:v>
      </x:c>
      <x:c r="R47" s="20" t="str">
        <x:v>MVP-C</x:v>
      </x:c>
      <x:c r="S47" s="20" t="str">
        <x:v>IC-T16</x:v>
      </x:c>
      <x:c r="T47" s="20" t="str"/>
    </x:row>
    <x:row r="48" ht="30" customHeight="1">
      <x:c r="A48" s="20" t="str">
        <x:v>C7-S1</x:v>
      </x:c>
      <x:c r="B48" s="20" t="str">
        <x:v>C7</x:v>
      </x:c>
      <x:c r="C48" s="20" t="str">
        <x:v>CHGO Response · Pastor-safe Intelligence</x:v>
      </x:c>
      <x:c r="D48" s="20" t="str">
        <x:v>L2 bounded response adapter</x:v>
      </x:c>
      <x:c r="E48" s="20" t="str">
        <x:v>P0</x:v>
      </x:c>
      <x:c r="F48" s="20" t="str">
        <x:v>Not Started</x:v>
      </x:c>
      <x:c r="G48" s="20" t="str">
        <x:v>Backend Lead</x:v>
      </x:c>
      <x:c r="H48" s="20" t="str">
        <x:v>Backend/API</x:v>
      </x:c>
      <x:c r="I48" s="20" t="str">
        <x:v>C6-S5</x:v>
      </x:c>
      <x:c r="J48" s="20" t="str">
        <x:v>status/data/provenance/privacy/trace adapter</x:v>
      </x:c>
      <x:c r="K48" s="20" t="str">
        <x:v>Derived result keeps ontology/model/policy/calculation lineage</x:v>
      </x:c>
      <x:c r="L48" s="20" t="str">
        <x:v>Integration Contract 1.0; OpenAPI Delta 2.0; UXIA 2.0</x:v>
      </x:c>
      <x:c r="M48" s="20" t="str">
        <x:v>CO-G08</x:v>
      </x:c>
      <x:c r="N48" s="22" t="n">
        <x:v>0</x:v>
      </x:c>
      <x:c r="O48" s="20" t="str">
        <x:v>No</x:v>
      </x:c>
      <x:c r="P48" s="20" t="str"/>
      <x:c r="Q48" s="20" t="str">
        <x:v>CS5</x:v>
      </x:c>
      <x:c r="R48" s="20" t="str">
        <x:v>MVP-C</x:v>
      </x:c>
      <x:c r="S48" s="20" t="str">
        <x:v>API-G10</x:v>
      </x:c>
      <x:c r="T48" s="20" t="str"/>
    </x:row>
    <x:row r="49" ht="30" customHeight="1">
      <x:c r="A49" s="20" t="str">
        <x:v>C7-S2</x:v>
      </x:c>
      <x:c r="B49" s="20" t="str">
        <x:v>C7</x:v>
      </x:c>
      <x:c r="C49" s="20" t="str">
        <x:v>CHGO Response · Pastor-safe Intelligence</x:v>
      </x:c>
      <x:c r="D49" s="20" t="str">
        <x:v>Candidate display boundary</x:v>
      </x:c>
      <x:c r="E49" s="20" t="str">
        <x:v>P0</x:v>
      </x:c>
      <x:c r="F49" s="20" t="str">
        <x:v>Not Started</x:v>
      </x:c>
      <x:c r="G49" s="20" t="str">
        <x:v>Growth Lead</x:v>
      </x:c>
      <x:c r="H49" s="20" t="str">
        <x:v>Frontend/Backend</x:v>
      </x:c>
      <x:c r="I49" s="20" t="str">
        <x:v>C7-S1</x:v>
      </x:c>
      <x:c r="J49" s="20" t="str">
        <x:v>candidate display/ref cache only</x:v>
      </x:c>
      <x:c r="K49" s="20" t="str">
        <x:v>Candidate never rendered as confirmed Evidence</x:v>
      </x:c>
      <x:c r="L49" s="20" t="str">
        <x:v>Integration Contract 1.0; OpenAPI Delta 2.0; UXIA 2.0</x:v>
      </x:c>
      <x:c r="M49" s="20" t="str">
        <x:v>CO-G08</x:v>
      </x:c>
      <x:c r="N49" s="22" t="n">
        <x:v>0</x:v>
      </x:c>
      <x:c r="O49" s="20" t="str">
        <x:v>No</x:v>
      </x:c>
      <x:c r="P49" s="20" t="str"/>
      <x:c r="Q49" s="20" t="str">
        <x:v>CS5</x:v>
      </x:c>
      <x:c r="R49" s="20" t="str">
        <x:v>MVP-C</x:v>
      </x:c>
      <x:c r="S49" s="20" t="str">
        <x:v>API-G04; UX-A06</x:v>
      </x:c>
      <x:c r="T49" s="20" t="str"/>
    </x:row>
    <x:row r="50" ht="30" customHeight="1">
      <x:c r="A50" s="20" t="str">
        <x:v>C7-S3</x:v>
      </x:c>
      <x:c r="B50" s="20" t="str">
        <x:v>C7</x:v>
      </x:c>
      <x:c r="C50" s="20" t="str">
        <x:v>CHGO Response · Pastor-safe Intelligence</x:v>
      </x:c>
      <x:c r="D50" s="20" t="str">
        <x:v>Human confirmation command</x:v>
      </x:c>
      <x:c r="E50" s="20" t="str">
        <x:v>P0</x:v>
      </x:c>
      <x:c r="F50" s="20" t="str">
        <x:v>Not Started</x:v>
      </x:c>
      <x:c r="G50" s="20" t="str">
        <x:v>Growth Lead</x:v>
      </x:c>
      <x:c r="H50" s="20" t="str">
        <x:v>Frontend/Backend</x:v>
      </x:c>
      <x:c r="I50" s="20" t="str">
        <x:v>C7-S2</x:v>
      </x:c>
      <x:c r="J50" s="20" t="str">
        <x:v>confirm/correct/uncertain/reject flow</x:v>
      </x:c>
      <x:c r="K50" s="20" t="str">
        <x:v>AI cannot auto-confirm</x:v>
      </x:c>
      <x:c r="L50" s="20" t="str">
        <x:v>Integration Contract 1.0; OpenAPI Delta 2.0; UXIA 2.0</x:v>
      </x:c>
      <x:c r="M50" s="20" t="str">
        <x:v>CO-G08</x:v>
      </x:c>
      <x:c r="N50" s="22" t="n">
        <x:v>0</x:v>
      </x:c>
      <x:c r="O50" s="20" t="str">
        <x:v>No</x:v>
      </x:c>
      <x:c r="P50" s="20" t="str"/>
      <x:c r="Q50" s="20" t="str">
        <x:v>CS5</x:v>
      </x:c>
      <x:c r="R50" s="20" t="str">
        <x:v>MVP-C</x:v>
      </x:c>
      <x:c r="S50" s="20" t="str">
        <x:v>IC-G03</x:v>
      </x:c>
      <x:c r="T50" s="20" t="str"/>
    </x:row>
    <x:row r="51" ht="30" customHeight="1">
      <x:c r="A51" s="20" t="str">
        <x:v>C7-S4</x:v>
      </x:c>
      <x:c r="B51" s="20" t="str">
        <x:v>C7</x:v>
      </x:c>
      <x:c r="C51" s="20" t="str">
        <x:v>CHGO Response · Pastor-safe Intelligence</x:v>
      </x:c>
      <x:c r="D51" s="20" t="str">
        <x:v>Practice/outcome response separation</x:v>
      </x:c>
      <x:c r="E51" s="20" t="str">
        <x:v>P0</x:v>
      </x:c>
      <x:c r="F51" s="20" t="str">
        <x:v>Not Started</x:v>
      </x:c>
      <x:c r="G51" s="20" t="str">
        <x:v>Measurement Lead</x:v>
      </x:c>
      <x:c r="H51" s="20" t="str">
        <x:v>Backend/API</x:v>
      </x:c>
      <x:c r="I51" s="20" t="str">
        <x:v>C7-S1</x:v>
      </x:c>
      <x:c r="J51" s="20" t="str">
        <x:v>distinct practice/outcome resources</x:v>
      </x:c>
      <x:c r="K51" s="20" t="str">
        <x:v>Practice does not imply outcome</x:v>
      </x:c>
      <x:c r="L51" s="20" t="str">
        <x:v>Integration Contract 1.0; OpenAPI Delta 2.0; UXIA 2.0</x:v>
      </x:c>
      <x:c r="M51" s="20" t="str">
        <x:v>CO-G08</x:v>
      </x:c>
      <x:c r="N51" s="22" t="n">
        <x:v>0</x:v>
      </x:c>
      <x:c r="O51" s="20" t="str">
        <x:v>No</x:v>
      </x:c>
      <x:c r="P51" s="20" t="str"/>
      <x:c r="Q51" s="20" t="str">
        <x:v>CS5</x:v>
      </x:c>
      <x:c r="R51" s="20" t="str">
        <x:v>MVP-C</x:v>
      </x:c>
      <x:c r="S51" s="20" t="str">
        <x:v>API-G04</x:v>
      </x:c>
      <x:c r="T51" s="20" t="str"/>
    </x:row>
    <x:row r="52" ht="30" customHeight="1">
      <x:c r="A52" s="20" t="str">
        <x:v>C7-S5</x:v>
      </x:c>
      <x:c r="B52" s="20" t="str">
        <x:v>C7</x:v>
      </x:c>
      <x:c r="C52" s="20" t="str">
        <x:v>CHGO Response · Pastor-safe Intelligence</x:v>
      </x:c>
      <x:c r="D52" s="20" t="str">
        <x:v>Pastor community growth query</x:v>
      </x:c>
      <x:c r="E52" s="20" t="str">
        <x:v>P0</x:v>
      </x:c>
      <x:c r="F52" s="20" t="str">
        <x:v>Not Started</x:v>
      </x:c>
      <x:c r="G52" s="20" t="str">
        <x:v>Data/Privacy Lead</x:v>
      </x:c>
      <x:c r="H52" s="20" t="str">
        <x:v>Backend/API</x:v>
      </x:c>
      <x:c r="I52" s="20" t="str">
        <x:v>C7-S1</x:v>
      </x:c>
      <x:c r="J52" s="20" t="str">
        <x:v>aggregate-only CHGO query</x:v>
      </x:c>
      <x:c r="K52" s="20" t="str">
        <x:v>No person_id/subject_key/raw reflection/evidence link</x:v>
      </x:c>
      <x:c r="L52" s="20" t="str">
        <x:v>Integration Contract 1.0; OpenAPI Delta 2.0; UXIA 2.0</x:v>
      </x:c>
      <x:c r="M52" s="20" t="str">
        <x:v>CO-G08</x:v>
      </x:c>
      <x:c r="N52" s="22" t="n">
        <x:v>0</x:v>
      </x:c>
      <x:c r="O52" s="20" t="str">
        <x:v>No</x:v>
      </x:c>
      <x:c r="P52" s="20" t="str"/>
      <x:c r="Q52" s="20" t="str">
        <x:v>CS5</x:v>
      </x:c>
      <x:c r="R52" s="20" t="str">
        <x:v>MVP-C</x:v>
      </x:c>
      <x:c r="S52" s="20" t="str">
        <x:v>D2-T10; API-G05</x:v>
      </x:c>
      <x:c r="T52" s="20" t="str"/>
    </x:row>
    <x:row r="53" ht="30" customHeight="1">
      <x:c r="A53" s="20" t="str">
        <x:v>C7-S6</x:v>
      </x:c>
      <x:c r="B53" s="20" t="str">
        <x:v>C7</x:v>
      </x:c>
      <x:c r="C53" s="20" t="str">
        <x:v>CHGO Response · Pastor-safe Intelligence</x:v>
      </x:c>
      <x:c r="D53" s="20" t="str">
        <x:v>Suppression/coverage state</x:v>
      </x:c>
      <x:c r="E53" s="20" t="str">
        <x:v>P0</x:v>
      </x:c>
      <x:c r="F53" s="20" t="str">
        <x:v>Not Started</x:v>
      </x:c>
      <x:c r="G53" s="20" t="str">
        <x:v>Data/Privacy Lead</x:v>
      </x:c>
      <x:c r="H53" s="20" t="str">
        <x:v>Backend/API</x:v>
      </x:c>
      <x:c r="I53" s="20" t="str">
        <x:v>C7-S5</x:v>
      </x:c>
      <x:c r="J53" s="20" t="str">
        <x:v>typed suppression + coverage</x:v>
      </x:c>
      <x:c r="K53" s="20" t="str">
        <x:v>SUPPRESSED never mapped to zero/no-growth</x:v>
      </x:c>
      <x:c r="L53" s="20" t="str">
        <x:v>Integration Contract 1.0; OpenAPI Delta 2.0; UXIA 2.0</x:v>
      </x:c>
      <x:c r="M53" s="20" t="str">
        <x:v>CO-G08</x:v>
      </x:c>
      <x:c r="N53" s="22" t="n">
        <x:v>0</x:v>
      </x:c>
      <x:c r="O53" s="20" t="str">
        <x:v>No</x:v>
      </x:c>
      <x:c r="P53" s="20" t="str"/>
      <x:c r="Q53" s="20" t="str">
        <x:v>CS5</x:v>
      </x:c>
      <x:c r="R53" s="20" t="str">
        <x:v>MVP-C</x:v>
      </x:c>
      <x:c r="S53" s="20" t="str">
        <x:v>API-G06</x:v>
      </x:c>
      <x:c r="T53" s="20" t="str"/>
    </x:row>
    <x:row r="54" ht="30" customHeight="1">
      <x:c r="A54" s="20" t="str">
        <x:v>C7-S7</x:v>
      </x:c>
      <x:c r="B54" s="20" t="str">
        <x:v>C7</x:v>
      </x:c>
      <x:c r="C54" s="20" t="str">
        <x:v>CHGO Response · Pastor-safe Intelligence</x:v>
      </x:c>
      <x:c r="D54" s="20" t="str">
        <x:v>Pastor Community Growth UX</x:v>
      </x:c>
      <x:c r="E54" s="20" t="str">
        <x:v>P0</x:v>
      </x:c>
      <x:c r="F54" s="20" t="str">
        <x:v>Not Started</x:v>
      </x:c>
      <x:c r="G54" s="20" t="str">
        <x:v>Frontend Lead</x:v>
      </x:c>
      <x:c r="H54" s="20" t="str">
        <x:v>Frontend</x:v>
      </x:c>
      <x:c r="I54" s="20" t="str">
        <x:v>C7-S5; C7-S6</x:v>
      </x:c>
      <x:c r="J54" s="20" t="str">
        <x:v>aggregate/suppressed/provenance UI</x:v>
      </x:c>
      <x:c r="K54" s="20" t="str">
        <x:v>No reverse personal drill-down</x:v>
      </x:c>
      <x:c r="L54" s="20" t="str">
        <x:v>Integration Contract 1.0; OpenAPI Delta 2.0; UXIA 2.0</x:v>
      </x:c>
      <x:c r="M54" s="20" t="str">
        <x:v>CO-G08</x:v>
      </x:c>
      <x:c r="N54" s="22" t="n">
        <x:v>0</x:v>
      </x:c>
      <x:c r="O54" s="20" t="str">
        <x:v>No</x:v>
      </x:c>
      <x:c r="P54" s="20" t="str"/>
      <x:c r="Q54" s="20" t="str">
        <x:v>CS5</x:v>
      </x:c>
      <x:c r="R54" s="20" t="str">
        <x:v>MVP-C</x:v>
      </x:c>
      <x:c r="S54" s="20" t="str">
        <x:v>IC-G04</x:v>
      </x:c>
      <x:c r="T54" s="20" t="str"/>
    </x:row>
    <x:row r="55" ht="30" customHeight="1">
      <x:c r="A55" s="20" t="str">
        <x:v>C8-S1</x:v>
      </x:c>
      <x:c r="B55" s="20" t="str">
        <x:v>C8</x:v>
      </x:c>
      <x:c r="C55" s="20" t="str">
        <x:v>White-label · Headless</x:v>
      </x:c>
      <x:c r="D55" s="20" t="str">
        <x:v>Tenant branding config</x:v>
      </x:c>
      <x:c r="E55" s="20" t="str">
        <x:v>P1</x:v>
      </x:c>
      <x:c r="F55" s="20" t="str">
        <x:v>Not Started</x:v>
      </x:c>
      <x:c r="G55" s="20" t="str">
        <x:v>Frontend/Backend</x:v>
      </x:c>
      <x:c r="H55" s="20" t="str">
        <x:v>Frontend/Backend</x:v>
      </x:c>
      <x:c r="I55" s="20" t="str">
        <x:v>C1-S1</x:v>
      </x:c>
      <x:c r="J55" s="20" t="str">
        <x:v>tenant_brand_config</x:v>
      </x:c>
      <x:c r="K55" s="20" t="str">
        <x:v>Branding cannot alter governance policy</x:v>
      </x:c>
      <x:c r="L55" s="20" t="str">
        <x:v>PRS 2.0; UXIA 2.0; DEV-002A; OpenAPI Delta 2.0</x:v>
      </x:c>
      <x:c r="M55" s="20" t="str">
        <x:v>CO-G09</x:v>
      </x:c>
      <x:c r="N55" s="22" t="n">
        <x:v>0</x:v>
      </x:c>
      <x:c r="O55" s="20" t="str">
        <x:v>No</x:v>
      </x:c>
      <x:c r="P55" s="20" t="str"/>
      <x:c r="Q55" s="20" t="str">
        <x:v>CS6</x:v>
      </x:c>
      <x:c r="R55" s="20" t="str">
        <x:v>Platform 2.0</x:v>
      </x:c>
      <x:c r="S55" s="20" t="str">
        <x:v>GATE-PROD-06</x:v>
      </x:c>
      <x:c r="T55" s="20" t="str"/>
    </x:row>
    <x:row r="56" ht="30" customHeight="1">
      <x:c r="A56" s="20" t="str">
        <x:v>C8-S2</x:v>
      </x:c>
      <x:c r="B56" s="20" t="str">
        <x:v>C8</x:v>
      </x:c>
      <x:c r="C56" s="20" t="str">
        <x:v>White-label · Headless</x:v>
      </x:c>
      <x:c r="D56" s="20" t="str">
        <x:v>Navigation config</x:v>
      </x:c>
      <x:c r="E56" s="20" t="str">
        <x:v>P1</x:v>
      </x:c>
      <x:c r="F56" s="20" t="str">
        <x:v>Not Started</x:v>
      </x:c>
      <x:c r="G56" s="20" t="str">
        <x:v>Frontend/Backend</x:v>
      </x:c>
      <x:c r="H56" s="20" t="str">
        <x:v>Frontend/Backend</x:v>
      </x:c>
      <x:c r="I56" s="20" t="str">
        <x:v>C2-S3</x:v>
      </x:c>
      <x:c r="J56" s="20" t="str">
        <x:v>tenant_navigation_config</x:v>
      </x:c>
      <x:c r="K56" s="20" t="str">
        <x:v>Policy gates cannot be hidden/disabled</x:v>
      </x:c>
      <x:c r="L56" s="20" t="str">
        <x:v>PRS 2.0; UXIA 2.0; DEV-002A; OpenAPI Delta 2.0</x:v>
      </x:c>
      <x:c r="M56" s="20" t="str">
        <x:v>CO-G09</x:v>
      </x:c>
      <x:c r="N56" s="22" t="n">
        <x:v>0</x:v>
      </x:c>
      <x:c r="O56" s="20" t="str">
        <x:v>No</x:v>
      </x:c>
      <x:c r="P56" s="20" t="str"/>
      <x:c r="Q56" s="20" t="str">
        <x:v>CS6</x:v>
      </x:c>
      <x:c r="R56" s="20" t="str">
        <x:v>Platform 2.0</x:v>
      </x:c>
      <x:c r="S56" s="20" t="str"/>
      <x:c r="T56" s="20" t="str"/>
    </x:row>
    <x:row r="57" ht="30" customHeight="1">
      <x:c r="A57" s="20" t="str">
        <x:v>C8-S3</x:v>
      </x:c>
      <x:c r="B57" s="20" t="str">
        <x:v>C8</x:v>
      </x:c>
      <x:c r="C57" s="20" t="str">
        <x:v>White-label · Headless</x:v>
      </x:c>
      <x:c r="D57" s="20" t="str">
        <x:v>Integration client</x:v>
      </x:c>
      <x:c r="E57" s="20" t="str">
        <x:v>P0</x:v>
      </x:c>
      <x:c r="F57" s="20" t="str">
        <x:v>Not Started</x:v>
      </x:c>
      <x:c r="G57" s="20" t="str">
        <x:v>API Lead</x:v>
      </x:c>
      <x:c r="H57" s="20" t="str">
        <x:v>API/Security</x:v>
      </x:c>
      <x:c r="I57" s="20" t="str">
        <x:v>C1-S3</x:v>
      </x:c>
      <x:c r="J57" s="20" t="str">
        <x:v>integration_client scoped auth</x:v>
      </x:c>
      <x:c r="K57" s="20" t="str">
        <x:v>Cross-tenant client denied</x:v>
      </x:c>
      <x:c r="L57" s="20" t="str">
        <x:v>PRS 2.0; UXIA 2.0; DEV-002A; OpenAPI Delta 2.0</x:v>
      </x:c>
      <x:c r="M57" s="20" t="str">
        <x:v>CO-G09</x:v>
      </x:c>
      <x:c r="N57" s="22" t="n">
        <x:v>0</x:v>
      </x:c>
      <x:c r="O57" s="20" t="str">
        <x:v>No</x:v>
      </x:c>
      <x:c r="P57" s="20" t="str"/>
      <x:c r="Q57" s="20" t="str">
        <x:v>CS6</x:v>
      </x:c>
      <x:c r="R57" s="20" t="str">
        <x:v>Platform 2.0</x:v>
      </x:c>
      <x:c r="S57" s="20" t="str">
        <x:v>D2-T11</x:v>
      </x:c>
      <x:c r="T57" s="20" t="str"/>
    </x:row>
    <x:row r="58" ht="30" customHeight="1">
      <x:c r="A58" s="20" t="str">
        <x:v>C8-S4</x:v>
      </x:c>
      <x:c r="B58" s="20" t="str">
        <x:v>C8</x:v>
      </x:c>
      <x:c r="C58" s="20" t="str">
        <x:v>White-label · Headless</x:v>
      </x:c>
      <x:c r="D58" s="20" t="str">
        <x:v>Module grants</x:v>
      </x:c>
      <x:c r="E58" s="20" t="str">
        <x:v>P0</x:v>
      </x:c>
      <x:c r="F58" s="20" t="str">
        <x:v>Not Started</x:v>
      </x:c>
      <x:c r="G58" s="20" t="str">
        <x:v>API Lead</x:v>
      </x:c>
      <x:c r="H58" s="20" t="str">
        <x:v>API/Security</x:v>
      </x:c>
      <x:c r="I58" s="20" t="str">
        <x:v>C8-S3</x:v>
      </x:c>
      <x:c r="J58" s="20" t="str">
        <x:v>integration_module_grant</x:v>
      </x:c>
      <x:c r="K58" s="20" t="str">
        <x:v>Only granted modules/scopes accessible</x:v>
      </x:c>
      <x:c r="L58" s="20" t="str">
        <x:v>PRS 2.0; UXIA 2.0; DEV-002A; OpenAPI Delta 2.0</x:v>
      </x:c>
      <x:c r="M58" s="20" t="str">
        <x:v>CO-G09</x:v>
      </x:c>
      <x:c r="N58" s="22" t="n">
        <x:v>0</x:v>
      </x:c>
      <x:c r="O58" s="20" t="str">
        <x:v>No</x:v>
      </x:c>
      <x:c r="P58" s="20" t="str"/>
      <x:c r="Q58" s="20" t="str">
        <x:v>CS6</x:v>
      </x:c>
      <x:c r="R58" s="20" t="str">
        <x:v>Platform 2.0</x:v>
      </x:c>
      <x:c r="S58" s="20" t="str">
        <x:v>API-G08</x:v>
      </x:c>
      <x:c r="T58" s="20" t="str"/>
    </x:row>
    <x:row r="59" ht="30" customHeight="1">
      <x:c r="A59" s="20" t="str">
        <x:v>C8-S5</x:v>
      </x:c>
      <x:c r="B59" s="20" t="str">
        <x:v>C8</x:v>
      </x:c>
      <x:c r="C59" s="20" t="str">
        <x:v>White-label · Headless</x:v>
      </x:c>
      <x:c r="D59" s="20" t="str">
        <x:v>Webhook subscription</x:v>
      </x:c>
      <x:c r="E59" s="20" t="str">
        <x:v>P0</x:v>
      </x:c>
      <x:c r="F59" s="20" t="str">
        <x:v>Not Started</x:v>
      </x:c>
      <x:c r="G59" s="20" t="str">
        <x:v>API Lead</x:v>
      </x:c>
      <x:c r="H59" s="20" t="str">
        <x:v>API/Integration</x:v>
      </x:c>
      <x:c r="I59" s="20" t="str">
        <x:v>C8-S3</x:v>
      </x:c>
      <x:c r="J59" s="20" t="str">
        <x:v>webhook_subscription</x:v>
      </x:c>
      <x:c r="K59" s="20" t="str">
        <x:v>Retry/idempotency/audit supported</x:v>
      </x:c>
      <x:c r="L59" s="20" t="str">
        <x:v>PRS 2.0; UXIA 2.0; DEV-002A; OpenAPI Delta 2.0</x:v>
      </x:c>
      <x:c r="M59" s="20" t="str">
        <x:v>CO-G09</x:v>
      </x:c>
      <x:c r="N59" s="22" t="n">
        <x:v>0</x:v>
      </x:c>
      <x:c r="O59" s="20" t="str">
        <x:v>No</x:v>
      </x:c>
      <x:c r="P59" s="20" t="str"/>
      <x:c r="Q59" s="20" t="str">
        <x:v>CS6</x:v>
      </x:c>
      <x:c r="R59" s="20" t="str">
        <x:v>Platform 2.0</x:v>
      </x:c>
      <x:c r="S59" s="20" t="str">
        <x:v>GATE-PROD-08</x:v>
      </x:c>
      <x:c r="T59" s="20" t="str"/>
    </x:row>
    <x:row r="60" ht="30" customHeight="1">
      <x:c r="A60" s="20" t="str">
        <x:v>C8-S6</x:v>
      </x:c>
      <x:c r="B60" s="20" t="str">
        <x:v>C8</x:v>
      </x:c>
      <x:c r="C60" s="20" t="str">
        <x:v>White-label · Headless</x:v>
      </x:c>
      <x:c r="D60" s="20" t="str">
        <x:v>Headless SSO/OIDC handoff</x:v>
      </x:c>
      <x:c r="E60" s="20" t="str">
        <x:v>P0</x:v>
      </x:c>
      <x:c r="F60" s="20" t="str">
        <x:v>Not Started</x:v>
      </x:c>
      <x:c r="G60" s="20" t="str">
        <x:v>Security Lead</x:v>
      </x:c>
      <x:c r="H60" s="20" t="str">
        <x:v>Security/API</x:v>
      </x:c>
      <x:c r="I60" s="20" t="str">
        <x:v>C8-S3</x:v>
      </x:c>
      <x:c r="J60" s="20" t="str">
        <x:v>external identity binding + token validation</x:v>
      </x:c>
      <x:c r="K60" s="20" t="str">
        <x:v>Server rechecks tenant/scope; no client-only trust</x:v>
      </x:c>
      <x:c r="L60" s="20" t="str">
        <x:v>PRS 2.0; UXIA 2.0; DEV-002A; OpenAPI Delta 2.0</x:v>
      </x:c>
      <x:c r="M60" s="20" t="str">
        <x:v>CO-G09</x:v>
      </x:c>
      <x:c r="N60" s="22" t="n">
        <x:v>0</x:v>
      </x:c>
      <x:c r="O60" s="20" t="str">
        <x:v>No</x:v>
      </x:c>
      <x:c r="P60" s="20" t="str"/>
      <x:c r="Q60" s="20" t="str">
        <x:v>CS6</x:v>
      </x:c>
      <x:c r="R60" s="20" t="str">
        <x:v>Platform 2.0</x:v>
      </x:c>
      <x:c r="S60" s="20" t="str">
        <x:v>API-G08</x:v>
      </x:c>
      <x:c r="T60" s="20" t="str"/>
    </x:row>
    <x:row r="61" ht="30" customHeight="1">
      <x:c r="A61" s="20" t="str">
        <x:v>C9-S1</x:v>
      </x:c>
      <x:c r="B61" s="20" t="str">
        <x:v>C9</x:v>
      </x:c>
      <x:c r="C61" s="20" t="str">
        <x:v>Contract Test · Release Gate</x:v>
      </x:c>
      <x:c r="D61" s="20" t="str">
        <x:v>Run SQL contract pack</x:v>
      </x:c>
      <x:c r="E61" s="20" t="str">
        <x:v>P0</x:v>
      </x:c>
      <x:c r="F61" s="20" t="str">
        <x:v>Not Started</x:v>
      </x:c>
      <x:c r="G61" s="20" t="str">
        <x:v>QA/Data</x:v>
      </x:c>
      <x:c r="H61" s="20" t="str">
        <x:v>QA/DB</x:v>
      </x:c>
      <x:c r="I61" s="20" t="str">
        <x:v>C0-S4; C6-S5</x:v>
      </x:c>
      <x:c r="J61" s="20" t="str">
        <x:v>Execute D2-T01~T16</x:v>
      </x:c>
      <x:c r="K61" s="20" t="str">
        <x:v>DB-visible assertions pass; E2E-only not faked</x:v>
      </x:c>
      <x:c r="L61" s="20" t="str">
        <x:v>DEV-002A Test Pack 2.0; Church OS MVP Acceptance Pack 1.0; DGM Handoff 1.2</x:v>
      </x:c>
      <x:c r="M61" s="20" t="str">
        <x:v>CO-G10</x:v>
      </x:c>
      <x:c r="N61" s="22" t="n">
        <x:v>0</x:v>
      </x:c>
      <x:c r="O61" s="20" t="str">
        <x:v>No</x:v>
      </x:c>
      <x:c r="P61" s="20" t="str"/>
      <x:c r="Q61" s="20" t="str">
        <x:v>CS7</x:v>
      </x:c>
      <x:c r="R61" s="20" t="str">
        <x:v>Release</x:v>
      </x:c>
      <x:c r="S61" s="20" t="str">
        <x:v>D2-T01~16</x:v>
      </x:c>
      <x:c r="T61" s="20" t="str"/>
    </x:row>
    <x:row r="62" ht="30" customHeight="1">
      <x:c r="A62" s="20" t="str">
        <x:v>C9-S2</x:v>
      </x:c>
      <x:c r="B62" s="20" t="str">
        <x:v>C9</x:v>
      </x:c>
      <x:c r="C62" s="20" t="str">
        <x:v>Contract Test · Release Gate</x:v>
      </x:c>
      <x:c r="D62" s="20" t="str">
        <x:v>Run API contract gates</x:v>
      </x:c>
      <x:c r="E62" s="20" t="str">
        <x:v>P0</x:v>
      </x:c>
      <x:c r="F62" s="20" t="str">
        <x:v>Not Started</x:v>
      </x:c>
      <x:c r="G62" s="20" t="str">
        <x:v>QA/API</x:v>
      </x:c>
      <x:c r="H62" s="20" t="str">
        <x:v>QA/API</x:v>
      </x:c>
      <x:c r="I62" s="20" t="str">
        <x:v>C0-S3; C7-S6</x:v>
      </x:c>
      <x:c r="J62" s="20" t="str">
        <x:v>Execute API-G01~G10</x:v>
      </x:c>
      <x:c r="K62" s="20" t="str">
        <x:v>All BLOCKER API gates pass</x:v>
      </x:c>
      <x:c r="L62" s="20" t="str">
        <x:v>DEV-002A Test Pack 2.0; Church OS MVP Acceptance Pack 1.0; DGM Handoff 1.2</x:v>
      </x:c>
      <x:c r="M62" s="20" t="str">
        <x:v>CO-G10</x:v>
      </x:c>
      <x:c r="N62" s="22" t="n">
        <x:v>0</x:v>
      </x:c>
      <x:c r="O62" s="20" t="str">
        <x:v>No</x:v>
      </x:c>
      <x:c r="P62" s="20" t="str"/>
      <x:c r="Q62" s="20" t="str">
        <x:v>CS7</x:v>
      </x:c>
      <x:c r="R62" s="20" t="str">
        <x:v>Release</x:v>
      </x:c>
      <x:c r="S62" s="20" t="str">
        <x:v>API-G01~10</x:v>
      </x:c>
      <x:c r="T62" s="20" t="str"/>
    </x:row>
    <x:row r="63" ht="30" customHeight="1">
      <x:c r="A63" s="20" t="str">
        <x:v>C9-S3</x:v>
      </x:c>
      <x:c r="B63" s="20" t="str">
        <x:v>C9</x:v>
      </x:c>
      <x:c r="C63" s="20" t="str">
        <x:v>Contract Test · Release Gate</x:v>
      </x:c>
      <x:c r="D63" s="20" t="str">
        <x:v>MVP-A acceptance</x:v>
      </x:c>
      <x:c r="E63" s="20" t="str">
        <x:v>P0</x:v>
      </x:c>
      <x:c r="F63" s="20" t="str">
        <x:v>Not Started</x:v>
      </x:c>
      <x:c r="G63" s="20" t="str">
        <x:v>QA/Product</x:v>
      </x:c>
      <x:c r="H63" s="20" t="str">
        <x:v>QA/E2E</x:v>
      </x:c>
      <x:c r="I63" s="20" t="str">
        <x:v>C1-S6; C2-S7; C3-S6</x:v>
      </x:c>
      <x:c r="J63" s="20" t="str">
        <x:v>Church Core journey suite</x:v>
      </x:c>
      <x:c r="K63" s="20" t="str">
        <x:v>MVP-A works without CHGO and privacy gates pass</x:v>
      </x:c>
      <x:c r="L63" s="20" t="str">
        <x:v>DEV-002A Test Pack 2.0; Church OS MVP Acceptance Pack 1.0; DGM Handoff 1.2</x:v>
      </x:c>
      <x:c r="M63" s="20" t="str">
        <x:v>CO-G10</x:v>
      </x:c>
      <x:c r="N63" s="22" t="n">
        <x:v>0</x:v>
      </x:c>
      <x:c r="O63" s="20" t="str">
        <x:v>No</x:v>
      </x:c>
      <x:c r="P63" s="20" t="str"/>
      <x:c r="Q63" s="20" t="str">
        <x:v>CS7</x:v>
      </x:c>
      <x:c r="R63" s="20" t="str">
        <x:v>Release</x:v>
      </x:c>
      <x:c r="S63" s="20" t="str">
        <x:v>MVP Acceptance Pack</x:v>
      </x:c>
      <x:c r="T63" s="20" t="str"/>
    </x:row>
    <x:row r="64" ht="30" customHeight="1">
      <x:c r="A64" s="20" t="str">
        <x:v>C9-S4</x:v>
      </x:c>
      <x:c r="B64" s="20" t="str">
        <x:v>C9</x:v>
      </x:c>
      <x:c r="C64" s="20" t="str">
        <x:v>Contract Test · Release Gate</x:v>
      </x:c>
      <x:c r="D64" s="20" t="str">
        <x:v>MVP-B acceptance</x:v>
      </x:c>
      <x:c r="E64" s="20" t="str">
        <x:v>P0</x:v>
      </x:c>
      <x:c r="F64" s="20" t="str">
        <x:v>Not Started</x:v>
      </x:c>
      <x:c r="G64" s="20" t="str">
        <x:v>QA/Product</x:v>
      </x:c>
      <x:c r="H64" s="20" t="str">
        <x:v>QA/E2E</x:v>
      </x:c>
      <x:c r="I64" s="20" t="str">
        <x:v>C4-S7; C5-S7</x:v>
      </x:c>
      <x:c r="J64" s="20" t="str">
        <x:v>Formation/Mission journey suite</x:v>
      </x:c>
      <x:c r="K64" s="20" t="str">
        <x:v>No scoring; practice/opportunity semantics pass</x:v>
      </x:c>
      <x:c r="L64" s="20" t="str">
        <x:v>DEV-002A Test Pack 2.0; Church OS MVP Acceptance Pack 1.0; DGM Handoff 1.2</x:v>
      </x:c>
      <x:c r="M64" s="20" t="str">
        <x:v>CO-G10</x:v>
      </x:c>
      <x:c r="N64" s="22" t="n">
        <x:v>0</x:v>
      </x:c>
      <x:c r="O64" s="20" t="str">
        <x:v>No</x:v>
      </x:c>
      <x:c r="P64" s="20" t="str"/>
      <x:c r="Q64" s="20" t="str">
        <x:v>CS7</x:v>
      </x:c>
      <x:c r="R64" s="20" t="str">
        <x:v>Release</x:v>
      </x:c>
      <x:c r="S64" s="20" t="str">
        <x:v>MVP Acceptance Pack</x:v>
      </x:c>
      <x:c r="T64" s="20" t="str"/>
    </x:row>
    <x:row r="65" ht="30" customHeight="1">
      <x:c r="A65" s="20" t="str">
        <x:v>C9-S5</x:v>
      </x:c>
      <x:c r="B65" s="20" t="str">
        <x:v>C9</x:v>
      </x:c>
      <x:c r="C65" s="20" t="str">
        <x:v>Contract Test · Release Gate</x:v>
      </x:c>
      <x:c r="D65" s="20" t="str">
        <x:v>MVP-C acceptance</x:v>
      </x:c>
      <x:c r="E65" s="20" t="str">
        <x:v>P0</x:v>
      </x:c>
      <x:c r="F65" s="20" t="str">
        <x:v>Not Started</x:v>
      </x:c>
      <x:c r="G65" s="20" t="str">
        <x:v>QA/Privacy</x:v>
      </x:c>
      <x:c r="H65" s="20" t="str">
        <x:v>QA/E2E</x:v>
      </x:c>
      <x:c r="I65" s="20" t="str">
        <x:v>C6-S8; C7-S7</x:v>
      </x:c>
      <x:c r="J65" s="20" t="str">
        <x:v>CHGO bridge + pastor aggregate suite</x:v>
      </x:c>
      <x:c r="K65" s="20" t="str">
        <x:v>Identity/privacy/evidence/suppression invariants pass</x:v>
      </x:c>
      <x:c r="L65" s="20" t="str">
        <x:v>DEV-002A Test Pack 2.0; Church OS MVP Acceptance Pack 1.0; DGM Handoff 1.2</x:v>
      </x:c>
      <x:c r="M65" s="20" t="str">
        <x:v>CO-G10</x:v>
      </x:c>
      <x:c r="N65" s="22" t="n">
        <x:v>0</x:v>
      </x:c>
      <x:c r="O65" s="20" t="str">
        <x:v>No</x:v>
      </x:c>
      <x:c r="P65" s="20" t="str"/>
      <x:c r="Q65" s="20" t="str">
        <x:v>CS7</x:v>
      </x:c>
      <x:c r="R65" s="20" t="str">
        <x:v>Release</x:v>
      </x:c>
      <x:c r="S65" s="20" t="str">
        <x:v>MVP Acceptance Pack</x:v>
      </x:c>
      <x:c r="T65" s="20" t="str"/>
    </x:row>
    <x:row r="66" ht="30" customHeight="1">
      <x:c r="A66" s="20" t="str">
        <x:v>C9-S6</x:v>
      </x:c>
      <x:c r="B66" s="20" t="str">
        <x:v>C9</x:v>
      </x:c>
      <x:c r="C66" s="20" t="str">
        <x:v>Contract Test · Release Gate</x:v>
      </x:c>
      <x:c r="D66" s="20" t="str">
        <x:v>Failure injection suite</x:v>
      </x:c>
      <x:c r="E66" s="20" t="str">
        <x:v>P0</x:v>
      </x:c>
      <x:c r="F66" s="20" t="str">
        <x:v>Not Started</x:v>
      </x:c>
      <x:c r="G66" s="20" t="str">
        <x:v>QA/SRE</x:v>
      </x:c>
      <x:c r="H66" s="20" t="str">
        <x:v>QA/SRE</x:v>
      </x:c>
      <x:c r="I66" s="20" t="str">
        <x:v>C6-S5; C8-S5</x:v>
      </x:c>
      <x:c r="J66" s="20" t="str">
        <x:v>L2 outage/duplicate/retry/webhook/gateway failure</x:v>
      </x:c>
      <x:c r="K66" s="20" t="str">
        <x:v>Safe degraded/fail-closed behavior</x:v>
      </x:c>
      <x:c r="L66" s="20" t="str">
        <x:v>DEV-002A Test Pack 2.0; Church OS MVP Acceptance Pack 1.0; DGM Handoff 1.2</x:v>
      </x:c>
      <x:c r="M66" s="20" t="str">
        <x:v>CO-G10</x:v>
      </x:c>
      <x:c r="N66" s="22" t="n">
        <x:v>0</x:v>
      </x:c>
      <x:c r="O66" s="20" t="str">
        <x:v>No</x:v>
      </x:c>
      <x:c r="P66" s="20" t="str"/>
      <x:c r="Q66" s="20" t="str">
        <x:v>CS7</x:v>
      </x:c>
      <x:c r="R66" s="20" t="str">
        <x:v>Release</x:v>
      </x:c>
      <x:c r="S66" s="20" t="str">
        <x:v>CI-08</x:v>
      </x:c>
      <x:c r="T66" s="20" t="str"/>
    </x:row>
    <x:row r="67" ht="30" customHeight="1">
      <x:c r="A67" s="20" t="str">
        <x:v>C9-S7</x:v>
      </x:c>
      <x:c r="B67" s="20" t="str">
        <x:v>C9</x:v>
      </x:c>
      <x:c r="C67" s="20" t="str">
        <x:v>Contract Test · Release Gate</x:v>
      </x:c>
      <x:c r="D67" s="20" t="str">
        <x:v>UX/accessibility smoke</x:v>
      </x:c>
      <x:c r="E67" s="20" t="str">
        <x:v>P0</x:v>
      </x:c>
      <x:c r="F67" s="20" t="str">
        <x:v>Not Started</x:v>
      </x:c>
      <x:c r="G67" s="20" t="str">
        <x:v>QA/UX</x:v>
      </x:c>
      <x:c r="H67" s="20" t="str">
        <x:v>QA/Frontend</x:v>
      </x:c>
      <x:c r="I67" s="20" t="str">
        <x:v>C2-S3; C4-S7; C5-S7; C7-S7</x:v>
      </x:c>
      <x:c r="J67" s="20" t="str">
        <x:v>role/mobile/web/a11y smoke</x:v>
      </x:c>
      <x:c r="K67" s="20" t="str">
        <x:v>UX acceptance passes</x:v>
      </x:c>
      <x:c r="L67" s="20" t="str">
        <x:v>DEV-002A Test Pack 2.0; Church OS MVP Acceptance Pack 1.0; DGM Handoff 1.2</x:v>
      </x:c>
      <x:c r="M67" s="20" t="str">
        <x:v>CO-G10</x:v>
      </x:c>
      <x:c r="N67" s="22" t="n">
        <x:v>0</x:v>
      </x:c>
      <x:c r="O67" s="20" t="str">
        <x:v>No</x:v>
      </x:c>
      <x:c r="P67" s="20" t="str"/>
      <x:c r="Q67" s="20" t="str">
        <x:v>CS7</x:v>
      </x:c>
      <x:c r="R67" s="20" t="str">
        <x:v>Release</x:v>
      </x:c>
      <x:c r="S67" s="20" t="str">
        <x:v>CI-09</x:v>
      </x:c>
      <x:c r="T67" s="20" t="str"/>
    </x:row>
    <x:row r="68" ht="30" customHeight="1">
      <x:c r="A68" s="20" t="str">
        <x:v>C9-S8</x:v>
      </x:c>
      <x:c r="B68" s="20" t="str">
        <x:v>C9</x:v>
      </x:c>
      <x:c r="C68" s="20" t="str">
        <x:v>Contract Test · Release Gate</x:v>
      </x:c>
      <x:c r="D68" s="20" t="str">
        <x:v>Release evidence report</x:v>
      </x:c>
      <x:c r="E68" s="20" t="str">
        <x:v>P0</x:v>
      </x:c>
      <x:c r="F68" s="20" t="str">
        <x:v>Not Started</x:v>
      </x:c>
      <x:c r="G68" s="20" t="str">
        <x:v>QA Lead</x:v>
      </x:c>
      <x:c r="H68" s="20" t="str">
        <x:v>Release/Governance</x:v>
      </x:c>
      <x:c r="I68" s="20" t="str">
        <x:v>C9-S1~C9-S7</x:v>
      </x:c>
      <x:c r="J68" s="20" t="str">
        <x:v>commit/migration/OpenAPI/policy/ontology/test evidence</x:v>
      </x:c>
      <x:c r="K68" s="20" t="str">
        <x:v>PASS/CONDITIONAL/FAIL/NOT TESTABLE honestly reported</x:v>
      </x:c>
      <x:c r="L68" s="20" t="str">
        <x:v>DEV-002A Test Pack 2.0; Church OS MVP Acceptance Pack 1.0; DGM Handoff 1.2</x:v>
      </x:c>
      <x:c r="M68" s="20" t="str">
        <x:v>CO-G10</x:v>
      </x:c>
      <x:c r="N68" s="22" t="n">
        <x:v>0</x:v>
      </x:c>
      <x:c r="O68" s="20" t="str">
        <x:v>No</x:v>
      </x:c>
      <x:c r="P68" s="20" t="str"/>
      <x:c r="Q68" s="20" t="str">
        <x:v>CS7</x:v>
      </x:c>
      <x:c r="R68" s="20" t="str">
        <x:v>Release</x:v>
      </x:c>
      <x:c r="S68" s="20" t="str">
        <x:v>CI-10</x:v>
      </x:c>
      <x:c r="T68" s="20" t="str"/>
    </x:row>
    <x:row r="69" ht="30" customHeight="1">
      <x:c r="A69" s="20" t="str">
        <x:v>C10-S1</x:v>
      </x:c>
      <x:c r="B69" s="20" t="str">
        <x:v>C10</x:v>
      </x:c>
      <x:c r="C69" s="20" t="str">
        <x:v>Open Decisions · ADR</x:v>
      </x:c>
      <x:c r="D69" s="20" t="str">
        <x:v>OD-01 suppression threshold decision</x:v>
      </x:c>
      <x:c r="E69" s="20" t="str">
        <x:v>P1</x:v>
      </x:c>
      <x:c r="F69" s="20" t="str">
        <x:v>Not Started</x:v>
      </x:c>
      <x:c r="G69" s="20" t="str">
        <x:v>Privacy/Legal/Pilot</x:v>
      </x:c>
      <x:c r="H69" s="20" t="str">
        <x:v>Governance</x:v>
      </x:c>
      <x:c r="I69" s="20" t="str">
        <x:v>C0-S5</x:v>
      </x:c>
      <x:c r="J69" s="20" t="str">
        <x:v>Decision record for OD-01</x:v>
      </x:c>
      <x:c r="K69" s="20" t="str">
        <x:v>No numeric threshold hard-coded before approval</x:v>
      </x:c>
      <x:c r="L69" s="20" t="str">
        <x:v>DGM Handoff 1.2</x:v>
      </x:c>
      <x:c r="M69" s="20" t="str">
        <x:v>CO-G10</x:v>
      </x:c>
      <x:c r="N69" s="22" t="n">
        <x:v>0</x:v>
      </x:c>
      <x:c r="O69" s="20" t="str">
        <x:v>No</x:v>
      </x:c>
      <x:c r="P69" s="20" t="str">
        <x:v>OD-01</x:v>
      </x:c>
      <x:c r="Q69" s="20" t="str">
        <x:v>CS0</x:v>
      </x:c>
      <x:c r="R69" s="20" t="str">
        <x:v>Governance</x:v>
      </x:c>
      <x:c r="S69" s="20" t="str"/>
      <x:c r="T69" s="20" t="str"/>
    </x:row>
    <x:row r="70" ht="30" customHeight="1">
      <x:c r="A70" s="20" t="str">
        <x:v>C10-S2</x:v>
      </x:c>
      <x:c r="B70" s="20" t="str">
        <x:v>C10</x:v>
      </x:c>
      <x:c r="C70" s="20" t="str">
        <x:v>Open Decisions · ADR</x:v>
      </x:c>
      <x:c r="D70" s="20" t="str">
        <x:v>OD-02 IAM/OIDC ADR</x:v>
      </x:c>
      <x:c r="E70" s="20" t="str">
        <x:v>P1</x:v>
      </x:c>
      <x:c r="F70" s="20" t="str">
        <x:v>Not Started</x:v>
      </x:c>
      <x:c r="G70" s="20" t="str">
        <x:v>Security Lead</x:v>
      </x:c>
      <x:c r="H70" s="20" t="str">
        <x:v>Governance</x:v>
      </x:c>
      <x:c r="I70" s="20" t="str">
        <x:v>C0-S5</x:v>
      </x:c>
      <x:c r="J70" s="20" t="str">
        <x:v>Decision record for OD-02</x:v>
      </x:c>
      <x:c r="K70" s="20" t="str">
        <x:v>Provider/scopes recorded in ADR before production</x:v>
      </x:c>
      <x:c r="L70" s="20" t="str">
        <x:v>DGM Handoff 1.2</x:v>
      </x:c>
      <x:c r="M70" s="20" t="str">
        <x:v>CO-G10</x:v>
      </x:c>
      <x:c r="N70" s="22" t="n">
        <x:v>0</x:v>
      </x:c>
      <x:c r="O70" s="20" t="str">
        <x:v>No</x:v>
      </x:c>
      <x:c r="P70" s="20" t="str">
        <x:v>OD-02</x:v>
      </x:c>
      <x:c r="Q70" s="20" t="str">
        <x:v>CS0</x:v>
      </x:c>
      <x:c r="R70" s="20" t="str">
        <x:v>Governance</x:v>
      </x:c>
      <x:c r="S70" s="20" t="str"/>
      <x:c r="T70" s="20" t="str"/>
    </x:row>
    <x:row r="71" ht="30" customHeight="1">
      <x:c r="A71" s="20" t="str">
        <x:v>C10-S3</x:v>
      </x:c>
      <x:c r="B71" s="20" t="str">
        <x:v>C10</x:v>
      </x:c>
      <x:c r="C71" s="20" t="str">
        <x:v>Open Decisions · ADR</x:v>
      </x:c>
      <x:c r="D71" s="20" t="str">
        <x:v>OD-03 PARTIAL eligibility policy</x:v>
      </x:c>
      <x:c r="E71" s="20" t="str">
        <x:v>P1</x:v>
      </x:c>
      <x:c r="F71" s="20" t="str">
        <x:v>Not Started</x:v>
      </x:c>
      <x:c r="G71" s="20" t="str">
        <x:v>Growth Governance</x:v>
      </x:c>
      <x:c r="H71" s="20" t="str">
        <x:v>Governance</x:v>
      </x:c>
      <x:c r="I71" s="20" t="str">
        <x:v>C0-S5</x:v>
      </x:c>
      <x:c r="J71" s="20" t="str">
        <x:v>Decision record for OD-03</x:v>
      </x:c>
      <x:c r="K71" s="20" t="str">
        <x:v>Policy version controls eligibility</x:v>
      </x:c>
      <x:c r="L71" s="20" t="str">
        <x:v>DGM Handoff 1.2</x:v>
      </x:c>
      <x:c r="M71" s="20" t="str">
        <x:v>CO-G10</x:v>
      </x:c>
      <x:c r="N71" s="22" t="n">
        <x:v>0</x:v>
      </x:c>
      <x:c r="O71" s="20" t="str">
        <x:v>No</x:v>
      </x:c>
      <x:c r="P71" s="20" t="str">
        <x:v>OD-03</x:v>
      </x:c>
      <x:c r="Q71" s="20" t="str">
        <x:v>CS0</x:v>
      </x:c>
      <x:c r="R71" s="20" t="str">
        <x:v>Governance</x:v>
      </x:c>
      <x:c r="S71" s="20" t="str"/>
      <x:c r="T71" s="20" t="str"/>
    </x:row>
    <x:row r="72" ht="30" customHeight="1">
      <x:c r="A72" s="20" t="str">
        <x:v>C10-S4</x:v>
      </x:c>
      <x:c r="B72" s="20" t="str">
        <x:v>C10</x:v>
      </x:c>
      <x:c r="C72" s="20" t="str">
        <x:v>Open Decisions · ADR</x:v>
      </x:c>
      <x:c r="D72" s="20" t="str">
        <x:v>OD-04 retention/deletion policy</x:v>
      </x:c>
      <x:c r="E72" s="20" t="str">
        <x:v>P1</x:v>
      </x:c>
      <x:c r="F72" s="20" t="str">
        <x:v>Not Started</x:v>
      </x:c>
      <x:c r="G72" s="20" t="str">
        <x:v>Privacy/Legal</x:v>
      </x:c>
      <x:c r="H72" s="20" t="str">
        <x:v>Governance</x:v>
      </x:c>
      <x:c r="I72" s="20" t="str">
        <x:v>C0-S5</x:v>
      </x:c>
      <x:c r="J72" s="20" t="str">
        <x:v>Decision record for OD-04</x:v>
      </x:c>
      <x:c r="K72" s="20" t="str">
        <x:v>No invented retention duration</x:v>
      </x:c>
      <x:c r="L72" s="20" t="str">
        <x:v>DGM Handoff 1.2</x:v>
      </x:c>
      <x:c r="M72" s="20" t="str">
        <x:v>CO-G10</x:v>
      </x:c>
      <x:c r="N72" s="22" t="n">
        <x:v>0</x:v>
      </x:c>
      <x:c r="O72" s="20" t="str">
        <x:v>No</x:v>
      </x:c>
      <x:c r="P72" s="20" t="str">
        <x:v>OD-04</x:v>
      </x:c>
      <x:c r="Q72" s="20" t="str">
        <x:v>CS0</x:v>
      </x:c>
      <x:c r="R72" s="20" t="str">
        <x:v>Governance</x:v>
      </x:c>
      <x:c r="S72" s="20" t="str"/>
      <x:c r="T72" s="20" t="str"/>
    </x:row>
    <x:row r="73" ht="30" customHeight="1">
      <x:c r="A73" s="20" t="str">
        <x:v>C10-S5</x:v>
      </x:c>
      <x:c r="B73" s="20" t="str">
        <x:v>C10</x:v>
      </x:c>
      <x:c r="C73" s="20" t="str">
        <x:v>Open Decisions · ADR</x:v>
      </x:c>
      <x:c r="D73" s="20" t="str">
        <x:v>OD-05 event transport ADR</x:v>
      </x:c>
      <x:c r="E73" s="20" t="str">
        <x:v>P1</x:v>
      </x:c>
      <x:c r="F73" s="20" t="str">
        <x:v>Not Started</x:v>
      </x:c>
      <x:c r="G73" s="20" t="str">
        <x:v>SRE Lead</x:v>
      </x:c>
      <x:c r="H73" s="20" t="str">
        <x:v>Governance</x:v>
      </x:c>
      <x:c r="I73" s="20" t="str">
        <x:v>C0-S5</x:v>
      </x:c>
      <x:c r="J73" s="20" t="str">
        <x:v>Decision record for OD-05</x:v>
      </x:c>
      <x:c r="K73" s="20" t="str">
        <x:v>Transport choice does not change contract</x:v>
      </x:c>
      <x:c r="L73" s="20" t="str">
        <x:v>DGM Handoff 1.2</x:v>
      </x:c>
      <x:c r="M73" s="20" t="str">
        <x:v>CO-G10</x:v>
      </x:c>
      <x:c r="N73" s="22" t="n">
        <x:v>0</x:v>
      </x:c>
      <x:c r="O73" s="20" t="str">
        <x:v>No</x:v>
      </x:c>
      <x:c r="P73" s="20" t="str">
        <x:v>OD-05</x:v>
      </x:c>
      <x:c r="Q73" s="20" t="str">
        <x:v>CS0</x:v>
      </x:c>
      <x:c r="R73" s="20" t="str">
        <x:v>Governance</x:v>
      </x:c>
      <x:c r="S73" s="20" t="str"/>
      <x:c r="T73" s="20" t="str"/>
    </x:row>
    <x:row r="74" ht="30" customHeight="1">
      <x:c r="A74" s="20" t="str">
        <x:v>C10-S6</x:v>
      </x:c>
      <x:c r="B74" s="20" t="str">
        <x:v>C10</x:v>
      </x:c>
      <x:c r="C74" s="20" t="str">
        <x:v>Open Decisions · ADR</x:v>
      </x:c>
      <x:c r="D74" s="20" t="str">
        <x:v>OD-06 Raw Vault protocol</x:v>
      </x:c>
      <x:c r="E74" s="20" t="str">
        <x:v>P1</x:v>
      </x:c>
      <x:c r="F74" s="20" t="str">
        <x:v>Not Started</x:v>
      </x:c>
      <x:c r="G74" s="20" t="str">
        <x:v>Privacy/Security</x:v>
      </x:c>
      <x:c r="H74" s="20" t="str">
        <x:v>Governance</x:v>
      </x:c>
      <x:c r="I74" s="20" t="str">
        <x:v>C0-S5</x:v>
      </x:c>
      <x:c r="J74" s="20" t="str">
        <x:v>Decision record for OD-06</x:v>
      </x:c>
      <x:c r="K74" s="20" t="str">
        <x:v>No inline raw protected bridge body</x:v>
      </x:c>
      <x:c r="L74" s="20" t="str">
        <x:v>DGM Handoff 1.2</x:v>
      </x:c>
      <x:c r="M74" s="20" t="str">
        <x:v>CO-G10</x:v>
      </x:c>
      <x:c r="N74" s="22" t="n">
        <x:v>0</x:v>
      </x:c>
      <x:c r="O74" s="20" t="str">
        <x:v>No</x:v>
      </x:c>
      <x:c r="P74" s="20" t="str">
        <x:v>OD-06</x:v>
      </x:c>
      <x:c r="Q74" s="20" t="str">
        <x:v>CS0</x:v>
      </x:c>
      <x:c r="R74" s="20" t="str">
        <x:v>Governance</x:v>
      </x:c>
      <x:c r="S74" s="20" t="str"/>
      <x:c r="T74" s="20" t="str"/>
    </x:row>
    <x:row r="75" ht="30" customHeight="1">
      <x:c r="A75" s="20" t="str">
        <x:v>C10-S7</x:v>
      </x:c>
      <x:c r="B75" s="20" t="str">
        <x:v>C10</x:v>
      </x:c>
      <x:c r="C75" s="20" t="str">
        <x:v>Open Decisions · ADR</x:v>
      </x:c>
      <x:c r="D75" s="20" t="str">
        <x:v>OD-07 Today AI ranking decision</x:v>
      </x:c>
      <x:c r="E75" s="20" t="str">
        <x:v>P1</x:v>
      </x:c>
      <x:c r="F75" s="20" t="str">
        <x:v>Not Started</x:v>
      </x:c>
      <x:c r="G75" s="20" t="str">
        <x:v>Product/AI</x:v>
      </x:c>
      <x:c r="H75" s="20" t="str">
        <x:v>Governance</x:v>
      </x:c>
      <x:c r="I75" s="20" t="str">
        <x:v>C0-S5</x:v>
      </x:c>
      <x:c r="J75" s="20" t="str">
        <x:v>Decision record for OD-07</x:v>
      </x:c>
      <x:c r="K75" s="20" t="str">
        <x:v>Operational fallback retained</x:v>
      </x:c>
      <x:c r="L75" s="20" t="str">
        <x:v>DGM Handoff 1.2</x:v>
      </x:c>
      <x:c r="M75" s="20" t="str">
        <x:v>CO-G10</x:v>
      </x:c>
      <x:c r="N75" s="22" t="n">
        <x:v>0</x:v>
      </x:c>
      <x:c r="O75" s="20" t="str">
        <x:v>No</x:v>
      </x:c>
      <x:c r="P75" s="20" t="str">
        <x:v>OD-07</x:v>
      </x:c>
      <x:c r="Q75" s="20" t="str">
        <x:v>CS0</x:v>
      </x:c>
      <x:c r="R75" s="20" t="str">
        <x:v>Governance</x:v>
      </x:c>
      <x:c r="S75" s="20" t="str"/>
      <x:c r="T75" s="20" t="str"/>
    </x:row>
    <x:row r="76" ht="30" customHeight="1">
      <x:c r="A76" s="20" t="str">
        <x:v>C10-S8</x:v>
      </x:c>
      <x:c r="B76" s="20" t="str">
        <x:v>C10</x:v>
      </x:c>
      <x:c r="C76" s="20" t="str">
        <x:v>Open Decisions · ADR</x:v>
      </x:c>
      <x:c r="D76" s="20" t="str">
        <x:v>OD-08 Pastor Action routing validation</x:v>
      </x:c>
      <x:c r="E76" s="20" t="str">
        <x:v>P1</x:v>
      </x:c>
      <x:c r="F76" s="20" t="str">
        <x:v>Not Started</x:v>
      </x:c>
      <x:c r="G76" s="20" t="str">
        <x:v>AI/Domain</x:v>
      </x:c>
      <x:c r="H76" s="20" t="str">
        <x:v>Governance</x:v>
      </x:c>
      <x:c r="I76" s="20" t="str">
        <x:v>C0-S5</x:v>
      </x:c>
      <x:c r="J76" s="20" t="str">
        <x:v>Decision record for OD-08</x:v>
      </x:c>
      <x:c r="K76" s="20" t="str">
        <x:v>Recommendation provenance required</x:v>
      </x:c>
      <x:c r="L76" s="20" t="str">
        <x:v>DGM Handoff 1.2</x:v>
      </x:c>
      <x:c r="M76" s="20" t="str">
        <x:v>CO-G10</x:v>
      </x:c>
      <x:c r="N76" s="22" t="n">
        <x:v>0</x:v>
      </x:c>
      <x:c r="O76" s="20" t="str">
        <x:v>No</x:v>
      </x:c>
      <x:c r="P76" s="20" t="str">
        <x:v>OD-08</x:v>
      </x:c>
      <x:c r="Q76" s="20" t="str">
        <x:v>CS0</x:v>
      </x:c>
      <x:c r="R76" s="20" t="str">
        <x:v>Governance</x:v>
      </x:c>
      <x:c r="S76" s="20" t="str"/>
      <x:c r="T76" s="20" t="str"/>
    </x:row>
    <x:row r="77" ht="30" customHeight="1">
      <x:c r="A77" s="20" t="str">
        <x:v>C10-S9</x:v>
      </x:c>
      <x:c r="B77" s="20" t="str">
        <x:v>C10</x:v>
      </x:c>
      <x:c r="C77" s="20" t="str">
        <x:v>Open Decisions · ADR</x:v>
      </x:c>
      <x:c r="D77" s="20" t="str">
        <x:v>OD-09 Ontology runtime transport</x:v>
      </x:c>
      <x:c r="E77" s="20" t="str">
        <x:v>P1</x:v>
      </x:c>
      <x:c r="F77" s="20" t="str">
        <x:v>Not Started</x:v>
      </x:c>
      <x:c r="G77" s="20" t="str">
        <x:v>Ontology Lead</x:v>
      </x:c>
      <x:c r="H77" s="20" t="str">
        <x:v>Governance</x:v>
      </x:c>
      <x:c r="I77" s="20" t="str">
        <x:v>C0-S5</x:v>
      </x:c>
      <x:c r="J77" s="20" t="str">
        <x:v>Decision record for OD-09</x:v>
      </x:c>
      <x:c r="K77" s="20" t="str">
        <x:v>Canonical semantics unchanged</x:v>
      </x:c>
      <x:c r="L77" s="20" t="str">
        <x:v>DGM Handoff 1.2</x:v>
      </x:c>
      <x:c r="M77" s="20" t="str">
        <x:v>CO-G10</x:v>
      </x:c>
      <x:c r="N77" s="22" t="n">
        <x:v>0</x:v>
      </x:c>
      <x:c r="O77" s="20" t="str">
        <x:v>No</x:v>
      </x:c>
      <x:c r="P77" s="20" t="str">
        <x:v>OD-09</x:v>
      </x:c>
      <x:c r="Q77" s="20" t="str">
        <x:v>CS0</x:v>
      </x:c>
      <x:c r="R77" s="20" t="str">
        <x:v>Governance</x:v>
      </x:c>
      <x:c r="S77" s="20" t="str"/>
      <x:c r="T77" s="20" t="str"/>
    </x:row>
    <x:row r="78" ht="30" customHeight="1">
      <x:c r="A78" s="20" t="str">
        <x:v>C10-S10</x:v>
      </x:c>
      <x:c r="B78" s="20" t="str">
        <x:v>C10</x:v>
      </x:c>
      <x:c r="C78" s="20" t="str">
        <x:v>Open Decisions · ADR</x:v>
      </x:c>
      <x:c r="D78" s="20" t="str">
        <x:v>OD-10 data residency/hierarchy</x:v>
      </x:c>
      <x:c r="E78" s="20" t="str">
        <x:v>P1</x:v>
      </x:c>
      <x:c r="F78" s="20" t="str">
        <x:v>Not Started</x:v>
      </x:c>
      <x:c r="G78" s="20" t="str">
        <x:v>Platform/Security</x:v>
      </x:c>
      <x:c r="H78" s="20" t="str">
        <x:v>Governance</x:v>
      </x:c>
      <x:c r="I78" s="20" t="str">
        <x:v>C0-S5</x:v>
      </x:c>
      <x:c r="J78" s="20" t="str">
        <x:v>Decision record for OD-10</x:v>
      </x:c>
      <x:c r="K78" s="20" t="str">
        <x:v>Platform 2.0 decision, not MVP blocker unless jurisdiction requires</x:v>
      </x:c>
      <x:c r="L78" s="20" t="str">
        <x:v>DGM Handoff 1.2</x:v>
      </x:c>
      <x:c r="M78" s="20" t="str">
        <x:v>CO-G10</x:v>
      </x:c>
      <x:c r="N78" s="22" t="n">
        <x:v>0</x:v>
      </x:c>
      <x:c r="O78" s="20" t="str">
        <x:v>No</x:v>
      </x:c>
      <x:c r="P78" s="20" t="str">
        <x:v>OD-10</x:v>
      </x:c>
      <x:c r="Q78" s="20" t="str">
        <x:v>CS0</x:v>
      </x:c>
      <x:c r="R78" s="20" t="str">
        <x:v>Governance</x:v>
      </x:c>
      <x:c r="S78" s="20" t="str"/>
      <x:c r="T78" s="20" t="str"/>
    </x:row>
  </x:sheetData>
  <x:conditionalFormatting sqref="F2:F78">
    <x:cfRule type="expression" dxfId="0" priority="1">
      <x:formula>F2="Done"</x:formula>
    </x:cfRule>
    <x:cfRule type="expression" dxfId="1" priority="2">
      <x:formula>F2="Blocked"</x:formula>
    </x:cfRule>
  </x:conditionalFormatting>
  <x:conditionalFormatting sqref="E2:E78">
    <x:cfRule type="expression" dxfId="2" priority="3">
      <x:formula>E2="P0"</x:formula>
    </x:cfRule>
  </x:conditionalFormatting>
  <x:conditionalFormatting sqref="N2:N78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{FCD411C8-E7ED-1E05-AB7A-6F89CF2BF5EC}</x14:id>
        </x:ext>
      </x:extLst>
    </x:cfRule>
  </x:conditionalFormatting>
  <x:dataValidations count="4">
    <x:dataValidation type="list" sqref="E2:E78">
      <x:formula1>Lists!$B$2:$B$4</x:formula1>
    </x:dataValidation>
    <x:dataValidation type="list" sqref="F2:F78">
      <x:formula1>Lists!$A$2:$A$6</x:formula1>
    </x:dataValidation>
    <x:dataValidation type="list" sqref="O2:O78">
      <x:formula1>Lists!$C$2:$C$3</x:formula1>
    </x:dataValidation>
    <x:dataValidation type="list" sqref="R2:R78">
      <x:formula1>Lists!$D$2:$D$8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f12f27abb46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CD411C8-E7ED-1E05-AB7A-6F89CF2BF5EC}">
            <x14:dataBar gradient="1">
              <x14:cfvo type="min"/>
              <x14:cfvo type="max"/>
              <x14:fillColor rgb="FFA02B93"/>
            </x14:dataBar>
          </x14:cfRule>
          <xm:sqref>N2:N78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8" t="str">
        <x:v>Status</x:v>
      </x:c>
      <x:c r="B1" s="8" t="str">
        <x:v>Priority</x:v>
      </x:c>
      <x:c r="C1" s="8" t="str">
        <x:v>Ready</x:v>
      </x:c>
      <x:c r="D1" s="8" t="str">
        <x:v>Release Slice</x:v>
      </x:c>
    </x:row>
    <x:row r="2">
      <x:c r="A2" t="str">
        <x:v>Not Started</x:v>
      </x:c>
      <x:c r="B2" t="str">
        <x:v>P0</x:v>
      </x:c>
      <x:c r="C2" t="str">
        <x:v>No</x:v>
      </x:c>
      <x:c r="D2" t="str">
        <x:v>Foundation</x:v>
      </x:c>
    </x:row>
    <x:row r="3">
      <x:c r="A3" t="str">
        <x:v>In Progress</x:v>
      </x:c>
      <x:c r="B3" t="str">
        <x:v>P1</x:v>
      </x:c>
      <x:c r="C3" t="str">
        <x:v>Yes</x:v>
      </x:c>
      <x:c r="D3" t="str">
        <x:v>MVP-A</x:v>
      </x:c>
    </x:row>
    <x:row r="4">
      <x:c r="A4" t="str">
        <x:v>Blocked</x:v>
      </x:c>
      <x:c r="B4" t="str">
        <x:v>P2</x:v>
      </x:c>
      <x:c r="C4" t="str"/>
      <x:c r="D4" t="str">
        <x:v>MVP-B</x:v>
      </x:c>
    </x:row>
    <x:row r="5">
      <x:c r="A5" t="str">
        <x:v>Done</x:v>
      </x:c>
      <x:c r="B5" t="str"/>
      <x:c r="C5" t="str"/>
      <x:c r="D5" t="str">
        <x:v>MVP-C</x:v>
      </x:c>
    </x:row>
    <x:row r="6">
      <x:c r="A6" t="str">
        <x:v>Deferred</x:v>
      </x:c>
      <x:c r="B6" t="str"/>
      <x:c r="C6" t="str"/>
      <x:c r="D6" t="str">
        <x:v>Platform 2.0</x:v>
      </x:c>
    </x:row>
    <x:row r="7">
      <x:c r="A7" t="str"/>
      <x:c r="B7" t="str"/>
      <x:c r="C7" t="str"/>
      <x:c r="D7" t="str">
        <x:v>Release</x:v>
      </x:c>
    </x:row>
    <x:row r="8">
      <x:c r="A8" t="str"/>
      <x:c r="B8" t="str"/>
      <x:c r="C8" t="str"/>
      <x:c r="D8" t="str">
        <x:v>Governance</x:v>
      </x:c>
    </x:row>
    <x:row r="9">
      <x:c r="A9" t="str"/>
      <x:c r="B9" t="str"/>
      <x:c r="C9" t="str"/>
      <x:c r="D9" t="str"/>
    </x:row>
    <x:row r="10">
      <x:c r="A10" t="str"/>
      <x:c r="B10" t="str"/>
      <x:c r="C10" t="str"/>
      <x:c r="D10" t="str"/>
    </x:row>
    <x:row r="11">
      <x:c r="A11" t="str"/>
      <x:c r="B11" t="str"/>
      <x:c r="C11" t="str"/>
      <x:c r="D11" t="str"/>
    </x:row>
    <x:row r="12">
      <x:c r="A12" t="str"/>
      <x:c r="B12" t="str"/>
      <x:c r="C12" t="str"/>
      <x:c r="D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4" max="4" width="10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16" t="str">
        <x:v>Implementation Backlog 1.2 — Church OS 2.0 Delta</x:v>
      </x:c>
      <x:c r="B1" s="16"/>
      <x:c r="C1" s="16"/>
      <x:c r="D1" s="16"/>
      <x:c r="E1" s="16"/>
      <x:c r="F1" s="16"/>
      <x:c r="G1" s="16"/>
      <x:c r="H1" s="16"/>
    </x:row>
    <x:row r="3">
      <x:c r="A3" s="8" t="str">
        <x:v>KPI</x:v>
      </x:c>
      <x:c r="B3" s="8" t="str">
        <x:v>Value</x:v>
      </x:c>
      <x:c r="C3" s="20"/>
      <x:c r="D3" s="8" t="str">
        <x:v>Epic</x:v>
      </x:c>
      <x:c r="E3" s="8" t="str">
        <x:v>Name</x:v>
      </x:c>
      <x:c r="F3" s="8" t="str">
        <x:v>Stories</x:v>
      </x:c>
      <x:c r="G3" s="8" t="str">
        <x:v>P0</x:v>
      </x:c>
      <x:c r="H3" s="8" t="str">
        <x:v>Done</x:v>
      </x:c>
      <x:c r="I3" s="8" t="str">
        <x:v>Progress</x:v>
      </x:c>
    </x:row>
    <x:row r="4">
      <x:c r="A4" s="20" t="str">
        <x:v>Delta Stories</x:v>
      </x:c>
      <x:c r="B4" s="20" t="n">
        <x:v>77</x:v>
      </x:c>
      <x:c r="C4" s="20"/>
      <x:c r="D4" s="20" t="str">
        <x:v>C0</x:v>
      </x:c>
      <x:c r="E4" s="20" t="str">
        <x:v>Handoff &amp; Contract Freeze</x:v>
      </x:c>
      <x:c r="F4" s="20" t="n">
        <x:v>5</x:v>
      </x:c>
      <x:c r="G4" s="20" t="n">
        <x:v>5</x:v>
      </x:c>
      <x:c r="H4" s="20" t="n">
        <x:f>COUNTIFS('Church OS 2.0 Delta'!B:B,D4,'Church OS 2.0 Delta'!F:F,"Done")</x:f>
        <x:v>0</x:v>
      </x:c>
      <x:c r="I4" s="22" t="n">
        <x:f>IF(F4=0,0,AVERAGEIF('Church OS 2.0 Delta'!B:B,D4,'Church OS 2.0 Delta'!N:N))</x:f>
        <x:v>0</x:v>
      </x:c>
    </x:row>
    <x:row r="5">
      <x:c r="A5" s="20" t="str">
        <x:v>P0 Stories</x:v>
      </x:c>
      <x:c r="B5" s="20" t="n">
        <x:v>65</x:v>
      </x:c>
      <x:c r="C5" s="20"/>
      <x:c r="D5" s="20" t="str">
        <x:v>C1</x:v>
      </x:c>
      <x:c r="E5" s="20" t="str">
        <x:v>Church Core · People &amp; Groups</x:v>
      </x:c>
      <x:c r="F5" s="20" t="n">
        <x:v>6</x:v>
      </x:c>
      <x:c r="G5" s="20" t="n">
        <x:v>6</x:v>
      </x:c>
      <x:c r="H5" s="20" t="n">
        <x:f>COUNTIFS('Church OS 2.0 Delta'!B:B,D5,'Church OS 2.0 Delta'!F:F,"Done")</x:f>
        <x:v>0</x:v>
      </x:c>
      <x:c r="I5" s="22" t="n">
        <x:f>IF(F5=0,0,AVERAGEIF('Church OS 2.0 Delta'!B:B,D5,'Church OS 2.0 Delta'!N:N))</x:f>
        <x:v>0</x:v>
      </x:c>
    </x:row>
    <x:row r="6">
      <x:c r="A6" s="20" t="str">
        <x:v>P1 Stories</x:v>
      </x:c>
      <x:c r="B6" s="20" t="n">
        <x:v>12</x:v>
      </x:c>
      <x:c r="C6" s="20"/>
      <x:c r="D6" s="20" t="str">
        <x:v>C2</x:v>
      </x:c>
      <x:c r="E6" s="20" t="str">
        <x:v>Today · Worship · Events · Content</x:v>
      </x:c>
      <x:c r="F6" s="20" t="n">
        <x:v>7</x:v>
      </x:c>
      <x:c r="G6" s="20" t="n">
        <x:v>7</x:v>
      </x:c>
      <x:c r="H6" s="20" t="n">
        <x:f>COUNTIFS('Church OS 2.0 Delta'!B:B,D6,'Church OS 2.0 Delta'!F:F,"Done")</x:f>
        <x:v>0</x:v>
      </x:c>
      <x:c r="I6" s="22" t="n">
        <x:f>IF(F6=0,0,AVERAGEIF('Church OS 2.0 Delta'!B:B,D6,'Church OS 2.0 Delta'!N:N))</x:f>
        <x:v>0</x:v>
      </x:c>
    </x:row>
    <x:row r="7">
      <x:c r="A7" s="20" t="str">
        <x:v>Done</x:v>
      </x:c>
      <x:c r="B7" s="20" t="n">
        <x:f>COUNTIF('Church OS 2.0 Delta'!F2:F78,"Done")</x:f>
        <x:v>0</x:v>
      </x:c>
      <x:c r="C7" s="20"/>
      <x:c r="D7" s="20" t="str">
        <x:v>C3</x:v>
      </x:c>
      <x:c r="E7" s="20" t="str">
        <x:v>Care · Prayer · Privacy</x:v>
      </x:c>
      <x:c r="F7" s="20" t="n">
        <x:v>6</x:v>
      </x:c>
      <x:c r="G7" s="20" t="n">
        <x:v>6</x:v>
      </x:c>
      <x:c r="H7" s="20" t="n">
        <x:f>COUNTIFS('Church OS 2.0 Delta'!B:B,D7,'Church OS 2.0 Delta'!F:F,"Done")</x:f>
        <x:v>0</x:v>
      </x:c>
      <x:c r="I7" s="22" t="n">
        <x:f>IF(F7=0,0,AVERAGEIF('Church OS 2.0 Delta'!B:B,D7,'Church OS 2.0 Delta'!N:N))</x:f>
        <x:v>0</x:v>
      </x:c>
    </x:row>
    <x:row r="8">
      <x:c r="A8" s="20" t="str">
        <x:v>In Progress</x:v>
      </x:c>
      <x:c r="B8" s="20" t="n">
        <x:f>COUNTIF('Church OS 2.0 Delta'!F2:F78,"In Progress")</x:f>
        <x:v>0</x:v>
      </x:c>
      <x:c r="C8" s="20"/>
      <x:c r="D8" s="20" t="str">
        <x:v>C4</x:v>
      </x:c>
      <x:c r="E8" s="20" t="str">
        <x:v>Formation Journey</x:v>
      </x:c>
      <x:c r="F8" s="20" t="n">
        <x:v>7</x:v>
      </x:c>
      <x:c r="G8" s="20" t="n">
        <x:v>7</x:v>
      </x:c>
      <x:c r="H8" s="20" t="n">
        <x:f>COUNTIFS('Church OS 2.0 Delta'!B:B,D8,'Church OS 2.0 Delta'!F:F,"Done")</x:f>
        <x:v>0</x:v>
      </x:c>
      <x:c r="I8" s="22" t="n">
        <x:f>IF(F8=0,0,AVERAGEIF('Church OS 2.0 Delta'!B:B,D8,'Church OS 2.0 Delta'!N:N))</x:f>
        <x:v>0</x:v>
      </x:c>
    </x:row>
    <x:row r="9">
      <x:c r="A9" s="20" t="str">
        <x:v>Blocked</x:v>
      </x:c>
      <x:c r="B9" s="20" t="n">
        <x:f>COUNTIF('Church OS 2.0 Delta'!F2:F78,"Blocked")</x:f>
        <x:v>0</x:v>
      </x:c>
      <x:c r="C9" s="20"/>
      <x:c r="D9" s="20" t="str">
        <x:v>C5</x:v>
      </x:c>
      <x:c r="E9" s="20" t="str">
        <x:v>Mission · Serve</x:v>
      </x:c>
      <x:c r="F9" s="20" t="n">
        <x:v>7</x:v>
      </x:c>
      <x:c r="G9" s="20" t="n">
        <x:v>7</x:v>
      </x:c>
      <x:c r="H9" s="20" t="n">
        <x:f>COUNTIFS('Church OS 2.0 Delta'!B:B,D9,'Church OS 2.0 Delta'!F:F,"Done")</x:f>
        <x:v>0</x:v>
      </x:c>
      <x:c r="I9" s="22" t="n">
        <x:f>IF(F9=0,0,AVERAGEIF('Church OS 2.0 Delta'!B:B,D9,'Church OS 2.0 Delta'!N:N))</x:f>
        <x:v>0</x:v>
      </x:c>
    </x:row>
    <x:row r="10">
      <x:c r="A10" s="20" t="str">
        <x:v>Overall Progress</x:v>
      </x:c>
      <x:c r="B10" s="22" t="n">
        <x:f>IF(B4=0,0,AVERAGE('Church OS 2.0 Delta'!N2:N78))</x:f>
        <x:v>0</x:v>
      </x:c>
      <x:c r="C10" s="20"/>
      <x:c r="D10" s="20" t="str">
        <x:v>C6</x:v>
      </x:c>
      <x:c r="E10" s="20" t="str">
        <x:v>Privacy Gateway · CHGO Bridge</x:v>
      </x:c>
      <x:c r="F10" s="20" t="n">
        <x:v>8</x:v>
      </x:c>
      <x:c r="G10" s="20" t="n">
        <x:v>8</x:v>
      </x:c>
      <x:c r="H10" s="20" t="n">
        <x:f>COUNTIFS('Church OS 2.0 Delta'!B:B,D10,'Church OS 2.0 Delta'!F:F,"Done")</x:f>
        <x:v>0</x:v>
      </x:c>
      <x:c r="I10" s="22" t="n">
        <x:f>IF(F10=0,0,AVERAGEIF('Church OS 2.0 Delta'!B:B,D10,'Church OS 2.0 Delta'!N:N))</x:f>
        <x:v>0</x:v>
      </x:c>
    </x:row>
    <x:row r="11">
      <x:c r="A11" s="20"/>
      <x:c r="B11" s="20"/>
      <x:c r="C11" s="20"/>
      <x:c r="D11" s="20" t="str">
        <x:v>C7</x:v>
      </x:c>
      <x:c r="E11" s="20" t="str">
        <x:v>CHGO Response · Pastor-safe Intelligence</x:v>
      </x:c>
      <x:c r="F11" s="20" t="n">
        <x:v>7</x:v>
      </x:c>
      <x:c r="G11" s="20" t="n">
        <x:v>7</x:v>
      </x:c>
      <x:c r="H11" s="20" t="n">
        <x:f>COUNTIFS('Church OS 2.0 Delta'!B:B,D11,'Church OS 2.0 Delta'!F:F,"Done")</x:f>
        <x:v>0</x:v>
      </x:c>
      <x:c r="I11" s="22" t="n">
        <x:f>IF(F11=0,0,AVERAGEIF('Church OS 2.0 Delta'!B:B,D11,'Church OS 2.0 Delta'!N:N))</x:f>
        <x:v>0</x:v>
      </x:c>
    </x:row>
    <x:row r="12">
      <x:c r="A12" s="20"/>
      <x:c r="B12" s="20"/>
      <x:c r="C12" s="20"/>
      <x:c r="D12" s="20" t="str">
        <x:v>C8</x:v>
      </x:c>
      <x:c r="E12" s="20" t="str">
        <x:v>White-label · Headless</x:v>
      </x:c>
      <x:c r="F12" s="20" t="n">
        <x:v>6</x:v>
      </x:c>
      <x:c r="G12" s="20" t="n">
        <x:v>4</x:v>
      </x:c>
      <x:c r="H12" s="20" t="n">
        <x:f>COUNTIFS('Church OS 2.0 Delta'!B:B,D12,'Church OS 2.0 Delta'!F:F,"Done")</x:f>
        <x:v>0</x:v>
      </x:c>
      <x:c r="I12" s="22" t="n">
        <x:f>IF(F12=0,0,AVERAGEIF('Church OS 2.0 Delta'!B:B,D12,'Church OS 2.0 Delta'!N:N))</x:f>
        <x:v>0</x:v>
      </x:c>
    </x:row>
    <x:row r="13">
      <x:c r="A13" s="20"/>
      <x:c r="B13" s="20"/>
      <x:c r="C13" s="20"/>
      <x:c r="D13" s="20" t="str">
        <x:v>C9</x:v>
      </x:c>
      <x:c r="E13" s="20" t="str">
        <x:v>Contract Test · Release Gate</x:v>
      </x:c>
      <x:c r="F13" s="20" t="n">
        <x:v>8</x:v>
      </x:c>
      <x:c r="G13" s="20" t="n">
        <x:v>8</x:v>
      </x:c>
      <x:c r="H13" s="20" t="n">
        <x:f>COUNTIFS('Church OS 2.0 Delta'!B:B,D13,'Church OS 2.0 Delta'!F:F,"Done")</x:f>
        <x:v>0</x:v>
      </x:c>
      <x:c r="I13" s="22" t="n">
        <x:f>IF(F13=0,0,AVERAGEIF('Church OS 2.0 Delta'!B:B,D13,'Church OS 2.0 Delta'!N:N))</x:f>
        <x:v>0</x:v>
      </x:c>
    </x:row>
    <x:row r="14">
      <x:c r="A14" s="20"/>
      <x:c r="B14" s="20"/>
      <x:c r="C14" s="20"/>
      <x:c r="D14" s="20" t="str">
        <x:v>C10</x:v>
      </x:c>
      <x:c r="E14" s="20" t="str">
        <x:v>Open Decisions · ADR</x:v>
      </x:c>
      <x:c r="F14" s="20" t="n">
        <x:v>10</x:v>
      </x:c>
      <x:c r="G14" s="20" t="n">
        <x:v>0</x:v>
      </x:c>
      <x:c r="H14" s="20" t="n">
        <x:f>COUNTIFS('Church OS 2.0 Delta'!B:B,D14,'Church OS 2.0 Delta'!F:F,"Done")</x:f>
        <x:v>0</x:v>
      </x:c>
      <x:c r="I14" s="22" t="n">
        <x:f>IF(F14=0,0,AVERAGEIF('Church OS 2.0 Delta'!B:B,D14,'Church OS 2.0 Delta'!N:N))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2924af7b3414df3"/>
</x:worksheet>
</file>

<file path=xl/worksheets/sheet4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8" t="str">
        <x:v>Gate</x:v>
      </x:c>
      <x:c r="B1" s="8" t="str">
        <x:v>Name</x:v>
      </x:c>
      <x:c r="C1" s="8" t="str">
        <x:v>PASS Condition</x:v>
      </x:c>
      <x:c r="D1" s="8" t="str">
        <x:v>Status</x:v>
      </x:c>
      <x:c r="E1" s="8" t="str">
        <x:v>Owner</x:v>
      </x:c>
      <x:c r="F1" s="8" t="str">
        <x:v>Evidence / Notes</x:v>
      </x:c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CO-G01</x:v>
      </x:c>
      <x:c r="B2" t="str">
        <x:v>Source Freeze</x:v>
      </x:c>
      <x:c r="C2" t="str">
        <x:v>CO-00~CO-12 versions/paths match DGM 1.2</x:v>
      </x:c>
      <x:c r="D2" t="str">
        <x:v>Not Started</x:v>
      </x:c>
      <x:c r="E2" t="str">
        <x:v>Tech Lead</x:v>
      </x:c>
      <x:c r="F2" t="str"/>
    </x:row>
    <x:row r="3">
      <x:c r="A3" t="str">
        <x:v>CO-G02</x:v>
      </x:c>
      <x:c r="B3" t="str">
        <x:v>Database</x:v>
      </x:c>
      <x:c r="C3" t="str">
        <x:v>DEV-002 physical diff complete; migration repeatable</x:v>
      </x:c>
      <x:c r="D3" t="str">
        <x:v>Not Started</x:v>
      </x:c>
      <x:c r="E3" t="str">
        <x:v>Data Architect</x:v>
      </x:c>
      <x:c r="F3" t="str"/>
    </x:row>
    <x:row r="4">
      <x:c r="A4" t="str">
        <x:v>CO-G03</x:v>
      </x:c>
      <x:c r="B4" t="str">
        <x:v>API</x:v>
      </x:c>
      <x:c r="C4" t="str">
        <x:v>OpenAPI 3.1 parse/lint + forbidden-field lint PASS</x:v>
      </x:c>
      <x:c r="D4" t="str">
        <x:v>Not Started</x:v>
      </x:c>
      <x:c r="E4" t="str">
        <x:v>API Lead</x:v>
      </x:c>
      <x:c r="F4" t="str"/>
    </x:row>
    <x:row r="5">
      <x:c r="A5" t="str">
        <x:v>CO-G04</x:v>
      </x:c>
      <x:c r="B5" t="str">
        <x:v>MVP-A Core</x:v>
      </x:c>
      <x:c r="C5" t="str">
        <x:v>People/Groups/Today/Worship/Events/Content operational without CHGO</x:v>
      </x:c>
      <x:c r="D5" t="str">
        <x:v>Not Started</x:v>
      </x:c>
      <x:c r="E5" t="str">
        <x:v>Product/QA</x:v>
      </x:c>
      <x:c r="F5" t="str"/>
    </x:row>
    <x:row r="6">
      <x:c r="A6" t="str">
        <x:v>CO-G05</x:v>
      </x:c>
      <x:c r="B6" t="str">
        <x:v>Care/Prayer Privacy</x:v>
      </x:c>
      <x:c r="C6" t="str">
        <x:v>visibility/protected separation/audit PASS</x:v>
      </x:c>
      <x:c r="D6" t="str">
        <x:v>Not Started</x:v>
      </x:c>
      <x:c r="E6" t="str">
        <x:v>Privacy/Security</x:v>
      </x:c>
      <x:c r="F6" t="str"/>
    </x:row>
    <x:row r="7">
      <x:c r="A7" t="str">
        <x:v>CO-G06</x:v>
      </x:c>
      <x:c r="B7" t="str">
        <x:v>MVP-B Formation</x:v>
      </x:c>
      <x:c r="C7" t="str">
        <x:v>Formation/Mission/Serve work without maturity scoring</x:v>
      </x:c>
      <x:c r="D7" t="str">
        <x:v>Not Started</x:v>
      </x:c>
      <x:c r="E7" t="str">
        <x:v>Product/QA</x:v>
      </x:c>
      <x:c r="F7" t="str"/>
    </x:row>
    <x:row r="8">
      <x:c r="A8" t="str">
        <x:v>CO-G07</x:v>
      </x:c>
      <x:c r="B8" t="str">
        <x:v>Privacy Gateway</x:v>
      </x:c>
      <x:c r="C8" t="str">
        <x:v>pseudonym/purpose/consent/outbox/safety PASS</x:v>
      </x:c>
      <x:c r="D8" t="str">
        <x:v>Not Started</x:v>
      </x:c>
      <x:c r="E8" t="str">
        <x:v>Privacy/Security</x:v>
      </x:c>
      <x:c r="F8" t="str"/>
    </x:row>
    <x:row r="9">
      <x:c r="A9" t="str">
        <x:v>CO-G08</x:v>
      </x:c>
      <x:c r="B9" t="str">
        <x:v>MVP-C CHGO</x:v>
      </x:c>
      <x:c r="C9" t="str">
        <x:v>Candidate/Evidence + Pastor aggregate/suppression/provenance PASS</x:v>
      </x:c>
      <x:c r="D9" t="str">
        <x:v>Not Started</x:v>
      </x:c>
      <x:c r="E9" t="str">
        <x:v>Growth/Data/QA</x:v>
      </x:c>
      <x:c r="F9" t="str"/>
    </x:row>
    <x:row r="10">
      <x:c r="A10" t="str">
        <x:v>CO-G09</x:v>
      </x:c>
      <x:c r="B10" t="str">
        <x:v>Headless</x:v>
      </x:c>
      <x:c r="C10" t="str">
        <x:v>tenant/scope/module/webhook/SSO contract PASS</x:v>
      </x:c>
      <x:c r="D10" t="str">
        <x:v>Not Started</x:v>
      </x:c>
      <x:c r="E10" t="str">
        <x:v>API/Security</x:v>
      </x:c>
      <x:c r="F10" t="str"/>
    </x:row>
    <x:row r="11">
      <x:c r="A11" t="str">
        <x:v>CO-G10</x:v>
      </x:c>
      <x:c r="B11" t="str">
        <x:v>Release</x:v>
      </x:c>
      <x:c r="C11" t="str">
        <x:v>CI-01~10 + MVP Acceptance Pack yields valid release decision</x:v>
      </x:c>
      <x:c r="D11" t="str">
        <x:v>Not Started</x:v>
      </x:c>
      <x:c r="E11" t="str">
        <x:v>QA/Governance</x:v>
      </x:c>
      <x:c r="F11" t="str"/>
    </x:row>
  </x:sheetData>
  <x:dataValidations count="1">
    <x:dataValidation type="list" sqref="D2:D11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e384b2c3fd41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.129999160766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8" t="str">
        <x:v>Chain</x:v>
      </x:c>
      <x:c r="B1" s="8" t="str">
        <x:v>Upstream</x:v>
      </x:c>
      <x:c r="C1" s="8" t="str">
        <x:v>Implementation</x:v>
      </x:c>
      <x:c r="D1" s="8" t="str">
        <x:v>Test / Gate</x:v>
      </x:c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Product</x:v>
      </x:c>
      <x:c r="B2" t="str">
        <x:v>Product Discovery → PRS 2.0</x:v>
      </x:c>
      <x:c r="C2" t="str">
        <x:v>C1~C8 tickets</x:v>
      </x:c>
      <x:c r="D2" t="str">
        <x:v>GATE-PROD-01~08</x:v>
      </x:c>
    </x:row>
    <x:row r="3">
      <x:c r="A3" t="str">
        <x:v>UX</x:v>
      </x:c>
      <x:c r="B3" t="str">
        <x:v>PRS → UXIA 2.0</x:v>
      </x:c>
      <x:c r="C3" t="str">
        <x:v>C2/C3/C4/C5/C7/C8</x:v>
      </x:c>
      <x:c r="D3" t="str">
        <x:v>UX-A01~ / UX-G01~10</x:v>
      </x:c>
    </x:row>
    <x:row r="4">
      <x:c r="A4" t="str">
        <x:v>Integration</x:v>
      </x:c>
      <x:c r="B4" t="str">
        <x:v>PRS/UX → Integration Contract</x:v>
      </x:c>
      <x:c r="C4" t="str">
        <x:v>C6/C7</x:v>
      </x:c>
      <x:c r="D4" t="str">
        <x:v>IC-T01~16; IC-G01~10</x:v>
      </x:c>
    </x:row>
    <x:row r="5">
      <x:c r="A5" t="str">
        <x:v>Persistence</x:v>
      </x:c>
      <x:c r="B5" t="str">
        <x:v>Integration → DEV-002A Schema/ERD/SQL</x:v>
      </x:c>
      <x:c r="C5" t="str">
        <x:v>C0/C1/C3/C4/C5/C6/C8</x:v>
      </x:c>
      <x:c r="D5" t="str">
        <x:v>D2-T01~16</x:v>
      </x:c>
    </x:row>
    <x:row r="6">
      <x:c r="A6" t="str">
        <x:v>API</x:v>
      </x:c>
      <x:c r="B6" t="str">
        <x:v>Integration + Schema → OpenAPI Delta</x:v>
      </x:c>
      <x:c r="C6" t="str">
        <x:v>C0/C6/C7/C8</x:v>
      </x:c>
      <x:c r="D6" t="str">
        <x:v>API-G01~10</x:v>
      </x:c>
    </x:row>
    <x:row r="7">
      <x:c r="A7" t="str">
        <x:v>Release</x:v>
      </x:c>
      <x:c r="B7" t="str">
        <x:v>All above → Acceptance Pack</x:v>
      </x:c>
      <x:c r="C7" t="str">
        <x:v>C9</x:v>
      </x:c>
      <x:c r="D7" t="str">
        <x:v>CO-G01~10</x:v>
      </x:c>
    </x:row>
    <x:row r="10">
      <x:c r="A10" s="8" t="str">
        <x:v>Invariant</x:v>
      </x:c>
      <x:c r="B10" s="8" t="str">
        <x:v>Ticket Areas</x:v>
      </x:c>
      <x:c r="C10" s="8" t="str">
        <x:v>Primary Tests</x:v>
      </x:c>
    </x:row>
    <x:row r="11">
      <x:c r="A11" t="str">
        <x:v>Person ≠ GrowthEpisode</x:v>
      </x:c>
      <x:c r="B11" t="str">
        <x:v>C1,C6</x:v>
      </x:c>
      <x:c r="C11" t="str">
        <x:v>D2-T01; API-G02</x:v>
      </x:c>
    </x:row>
    <x:row r="12">
      <x:c r="A12" t="str">
        <x:v>Candidate ≠ Evidence</x:v>
      </x:c>
      <x:c r="B12" t="str">
        <x:v>C7</x:v>
      </x:c>
      <x:c r="C12" t="str">
        <x:v>API-G04; IC-G03</x:v>
      </x:c>
    </x:row>
    <x:row r="13">
      <x:c r="A13" t="str">
        <x:v>Practice ≠ Outcome</x:v>
      </x:c>
      <x:c r="B13" t="str">
        <x:v>C4,C7</x:v>
      </x:c>
      <x:c r="C13" t="str">
        <x:v>D2-T03; API-G04</x:v>
      </x:c>
    </x:row>
    <x:row r="14">
      <x:c r="A14" t="str">
        <x:v>Missing ≠ 0</x:v>
      </x:c>
      <x:c r="B14" t="str">
        <x:v>C7</x:v>
      </x:c>
      <x:c r="C14" t="str">
        <x:v>IC-T08</x:v>
      </x:c>
    </x:row>
    <x:row r="15">
      <x:c r="A15" t="str">
        <x:v>No Opportunity ≠ Failure</x:v>
      </x:c>
      <x:c r="B15" t="str">
        <x:v>C4,C5</x:v>
      </x:c>
      <x:c r="C15" t="str">
        <x:v>D2-T04; IC-T07</x:v>
      </x:c>
    </x:row>
    <x:row r="16">
      <x:c r="A16" t="str">
        <x:v>Completion ≠ Maturity</x:v>
      </x:c>
      <x:c r="B16" t="str">
        <x:v>C4</x:v>
      </x:c>
      <x:c r="C16" t="str">
        <x:v>D2-T02; UX-A04</x:v>
      </x:c>
    </x:row>
    <x:row r="17">
      <x:c r="A17" t="str">
        <x:v>Pastor Aggregate Only</x:v>
      </x:c>
      <x:c r="B17" t="str">
        <x:v>C7</x:v>
      </x:c>
      <x:c r="C17" t="str">
        <x:v>D2-T10; API-G05</x:v>
      </x:c>
    </x:row>
    <x:row r="18">
      <x:c r="A18" t="str">
        <x:v>Coach Dual Gate</x:v>
      </x:c>
      <x:c r="B18" t="str">
        <x:v>C6/L4</x:v>
      </x:c>
      <x:c r="C18" t="str">
        <x:v>IC cross-tests</x:v>
      </x:c>
    </x:row>
    <x:row r="19">
      <x:c r="A19" t="str">
        <x:v>Raw Separation</x:v>
      </x:c>
      <x:c r="B19" t="str">
        <x:v>C3,C4,C6</x:v>
      </x:c>
      <x:c r="C19" t="str">
        <x:v>D2-T09; D2-T15; API-G03</x:v>
      </x:c>
    </x:row>
    <x:row r="20">
      <x:c r="A20" t="str">
        <x:v>No Spiritual Score</x:v>
      </x:c>
      <x:c r="B20" t="str">
        <x:v>C1,C4,C5,C7</x:v>
      </x:c>
      <x:c r="C20" t="str">
        <x:v>D2-T01; release blocker</x:v>
      </x:c>
    </x:row>
    <x:row r="21">
      <x:c r="A21" t="str">
        <x:v>L2 Outage Independence</x:v>
      </x:c>
      <x:c r="B21" t="str">
        <x:v>C2,C6</x:v>
      </x:c>
      <x:c r="C21" t="str">
        <x:v>D2-T08; API-G07</x:v>
      </x:c>
    </x:row>
    <x:row r="22">
      <x:c r="A22" t="str">
        <x:v>Safety Overrides Growth</x:v>
      </x:c>
      <x:c r="B22" t="str">
        <x:v>C6</x:v>
      </x:c>
      <x:c r="C22" t="str">
        <x:v>IC-T16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8" t="str">
        <x:v>ID</x:v>
      </x:c>
      <x:c r="B1" s="8" t="str">
        <x:v>Decision</x:v>
      </x:c>
      <x:c r="C1" s="8" t="str">
        <x:v>Owner Domain</x:v>
      </x:c>
      <x:c r="D1" s="8" t="str">
        <x:v>Freeze Rule</x:v>
      </x:c>
      <x:c r="E1" s="8" t="str">
        <x:v>Status</x:v>
      </x:c>
      <x:c r="F1" s="8" t="str">
        <x:v>Linked Ticket</x:v>
      </x:c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OD-01</x:v>
      </x:c>
      <x:c r="B2" t="str">
        <x:v>OD-01 suppression threshold decision</x:v>
      </x:c>
      <x:c r="C2" t="str">
        <x:v>Privacy/Legal/Pilot</x:v>
      </x:c>
      <x:c r="D2" t="str">
        <x:v>No numeric threshold hard-coded before approval</x:v>
      </x:c>
      <x:c r="E2" t="str">
        <x:v>OPEN</x:v>
      </x:c>
      <x:c r="F2" t="str">
        <x:v>C10-S1</x:v>
      </x:c>
    </x:row>
    <x:row r="3">
      <x:c r="A3" t="str">
        <x:v>OD-02</x:v>
      </x:c>
      <x:c r="B3" t="str">
        <x:v>OD-02 IAM/OIDC ADR</x:v>
      </x:c>
      <x:c r="C3" t="str">
        <x:v>Security Lead</x:v>
      </x:c>
      <x:c r="D3" t="str">
        <x:v>Provider/scopes recorded in ADR before production</x:v>
      </x:c>
      <x:c r="E3" t="str">
        <x:v>OPEN</x:v>
      </x:c>
      <x:c r="F3" t="str">
        <x:v>C10-S2</x:v>
      </x:c>
    </x:row>
    <x:row r="4">
      <x:c r="A4" t="str">
        <x:v>OD-03</x:v>
      </x:c>
      <x:c r="B4" t="str">
        <x:v>OD-03 PARTIAL eligibility policy</x:v>
      </x:c>
      <x:c r="C4" t="str">
        <x:v>Growth Governance</x:v>
      </x:c>
      <x:c r="D4" t="str">
        <x:v>Policy version controls eligibility</x:v>
      </x:c>
      <x:c r="E4" t="str">
        <x:v>OPEN</x:v>
      </x:c>
      <x:c r="F4" t="str">
        <x:v>C10-S3</x:v>
      </x:c>
    </x:row>
    <x:row r="5">
      <x:c r="A5" t="str">
        <x:v>OD-04</x:v>
      </x:c>
      <x:c r="B5" t="str">
        <x:v>OD-04 retention/deletion policy</x:v>
      </x:c>
      <x:c r="C5" t="str">
        <x:v>Privacy/Legal</x:v>
      </x:c>
      <x:c r="D5" t="str">
        <x:v>No invented retention duration</x:v>
      </x:c>
      <x:c r="E5" t="str">
        <x:v>OPEN</x:v>
      </x:c>
      <x:c r="F5" t="str">
        <x:v>C10-S4</x:v>
      </x:c>
    </x:row>
    <x:row r="6">
      <x:c r="A6" t="str">
        <x:v>OD-05</x:v>
      </x:c>
      <x:c r="B6" t="str">
        <x:v>OD-05 event transport ADR</x:v>
      </x:c>
      <x:c r="C6" t="str">
        <x:v>SRE Lead</x:v>
      </x:c>
      <x:c r="D6" t="str">
        <x:v>Transport choice does not change contract</x:v>
      </x:c>
      <x:c r="E6" t="str">
        <x:v>OPEN</x:v>
      </x:c>
      <x:c r="F6" t="str">
        <x:v>C10-S5</x:v>
      </x:c>
    </x:row>
    <x:row r="7">
      <x:c r="A7" t="str">
        <x:v>OD-06</x:v>
      </x:c>
      <x:c r="B7" t="str">
        <x:v>OD-06 Raw Vault protocol</x:v>
      </x:c>
      <x:c r="C7" t="str">
        <x:v>Privacy/Security</x:v>
      </x:c>
      <x:c r="D7" t="str">
        <x:v>No inline raw protected bridge body</x:v>
      </x:c>
      <x:c r="E7" t="str">
        <x:v>OPEN</x:v>
      </x:c>
      <x:c r="F7" t="str">
        <x:v>C10-S6</x:v>
      </x:c>
    </x:row>
    <x:row r="8">
      <x:c r="A8" t="str">
        <x:v>OD-07</x:v>
      </x:c>
      <x:c r="B8" t="str">
        <x:v>OD-07 Today AI ranking decision</x:v>
      </x:c>
      <x:c r="C8" t="str">
        <x:v>Product/AI</x:v>
      </x:c>
      <x:c r="D8" t="str">
        <x:v>Operational fallback retained</x:v>
      </x:c>
      <x:c r="E8" t="str">
        <x:v>OPEN</x:v>
      </x:c>
      <x:c r="F8" t="str">
        <x:v>C10-S7</x:v>
      </x:c>
    </x:row>
    <x:row r="9">
      <x:c r="A9" t="str">
        <x:v>OD-08</x:v>
      </x:c>
      <x:c r="B9" t="str">
        <x:v>OD-08 Pastor Action routing validation</x:v>
      </x:c>
      <x:c r="C9" t="str">
        <x:v>AI/Domain</x:v>
      </x:c>
      <x:c r="D9" t="str">
        <x:v>Recommendation provenance required</x:v>
      </x:c>
      <x:c r="E9" t="str">
        <x:v>OPEN</x:v>
      </x:c>
      <x:c r="F9" t="str">
        <x:v>C10-S8</x:v>
      </x:c>
    </x:row>
    <x:row r="10">
      <x:c r="A10" t="str">
        <x:v>OD-09</x:v>
      </x:c>
      <x:c r="B10" t="str">
        <x:v>OD-09 Ontology runtime transport</x:v>
      </x:c>
      <x:c r="C10" t="str">
        <x:v>Ontology Lead</x:v>
      </x:c>
      <x:c r="D10" t="str">
        <x:v>Canonical semantics unchanged</x:v>
      </x:c>
      <x:c r="E10" t="str">
        <x:v>OPEN</x:v>
      </x:c>
      <x:c r="F10" t="str">
        <x:v>C10-S9</x:v>
      </x:c>
    </x:row>
    <x:row r="11">
      <x:c r="A11" t="str">
        <x:v>OD-10</x:v>
      </x:c>
      <x:c r="B11" t="str">
        <x:v>OD-10 data residency/hierarchy</x:v>
      </x:c>
      <x:c r="C11" t="str">
        <x:v>Platform/Security</x:v>
      </x:c>
      <x:c r="D11" t="str">
        <x:v>Platform 2.0 decision, not MVP blocker unless jurisdiction requires</x:v>
      </x:c>
      <x:c r="E11" t="str">
        <x:v>OPEN</x:v>
      </x:c>
      <x:c r="F11" t="str">
        <x:v>C10-S10</x:v>
      </x:c>
    </x:row>
  </x:sheetData>
  <x:pageMargins left="0.7" right="0.7" top="0.75" bottom="0.75" header="0.3" footer="0.3"/>
  <x:tableParts count="1">
    <x:tablePart xmlns:r="http://schemas.openxmlformats.org/officeDocument/2006/relationships" r:id="Rc2bbd8232a6d41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8" t="str">
        <x:v>ID</x:v>
      </x:c>
      <x:c r="B1" s="8" t="str">
        <x:v>Artifact</x:v>
      </x:c>
      <x:c r="C1" s="8" t="str">
        <x:v>Role</x:v>
      </x:c>
      <x:c r="D1" s="8" t="str">
        <x:v>Backlog Impact</x:v>
      </x:c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t="str">
        <x:v>CO-00</x:v>
      </x:c>
      <x:c r="B2" t="str">
        <x:v>Church OS Product Discovery &amp; Competitive Architecture 1.0</x:v>
      </x:c>
      <x:c r="C2" t="str">
        <x:v>Discovery rationale</x:v>
      </x:c>
      <x:c r="D2" t="str">
        <x:v>C1~C8</x:v>
      </x:c>
    </x:row>
    <x:row r="3">
      <x:c r="A3" t="str">
        <x:v>CO-01</x:v>
      </x:c>
      <x:c r="B3" t="str">
        <x:v>CHGO Church OS Product Requirements Specification 2.0</x:v>
      </x:c>
      <x:c r="C3" t="str">
        <x:v>Product requirements</x:v>
      </x:c>
      <x:c r="D3" t="str">
        <x:v>C1~C8</x:v>
      </x:c>
    </x:row>
    <x:row r="4">
      <x:c r="A4" t="str">
        <x:v>CO-02</x:v>
      </x:c>
      <x:c r="B4" t="str">
        <x:v>CHGO Church OS UX &amp; Information Architecture 2.0</x:v>
      </x:c>
      <x:c r="C4" t="str">
        <x:v>UX/state/role/privacy</x:v>
      </x:c>
      <x:c r="D4" t="str">
        <x:v>C2~C8</x:v>
      </x:c>
    </x:row>
    <x:row r="5">
      <x:c r="A5" t="str">
        <x:v>CO-03</x:v>
      </x:c>
      <x:c r="B5" t="str">
        <x:v>Church OS ↔ CHGO Engine Integration Contract 1.0</x:v>
      </x:c>
      <x:c r="C5" t="str">
        <x:v>L3↔L2/L4 boundary</x:v>
      </x:c>
      <x:c r="D5" t="str">
        <x:v>C6,C7</x:v>
      </x:c>
    </x:row>
    <x:row r="6">
      <x:c r="A6" t="str">
        <x:v>CO-04</x:v>
      </x:c>
      <x:c r="B6" t="str">
        <x:v>DEV-002A Church OS Schema Delta 2.0</x:v>
      </x:c>
      <x:c r="C6" t="str">
        <x:v>Logical schema delta</x:v>
      </x:c>
      <x:c r="D6" t="str">
        <x:v>C0~C8</x:v>
      </x:c>
    </x:row>
    <x:row r="7">
      <x:c r="A7" t="str">
        <x:v>CO-05</x:v>
      </x:c>
      <x:c r="B7" t="str">
        <x:v>DEV-002A PostgreSQL Migration Patch 2.0</x:v>
      </x:c>
      <x:c r="C7" t="str">
        <x:v>Physical migration</x:v>
      </x:c>
      <x:c r="D7" t="str">
        <x:v>C0,C9</x:v>
      </x:c>
    </x:row>
    <x:row r="8">
      <x:c r="A8" t="str">
        <x:v>CO-06</x:v>
      </x:c>
      <x:c r="B8" t="str">
        <x:v>DEV-002A Church OS ERD 2.0</x:v>
      </x:c>
      <x:c r="C8" t="str">
        <x:v>Physical relationships</x:v>
      </x:c>
      <x:c r="D8" t="str">
        <x:v>C0,C9</x:v>
      </x:c>
    </x:row>
    <x:row r="9">
      <x:c r="A9" t="str">
        <x:v>CO-07</x:v>
      </x:c>
      <x:c r="B9" t="str">
        <x:v>Church OS OpenAPI Delta 2.0.docx</x:v>
      </x:c>
      <x:c r="C9" t="str">
        <x:v>Human API contract</x:v>
      </x:c>
      <x:c r="D9" t="str">
        <x:v>C0,C6,C7,C8,C9</x:v>
      </x:c>
    </x:row>
    <x:row r="10">
      <x:c r="A10" t="str">
        <x:v>CO-08</x:v>
      </x:c>
      <x:c r="B10" t="str">
        <x:v>CHGO_Church_OS_OpenAPI_Delta_2.0.yaml</x:v>
      </x:c>
      <x:c r="C10" t="str">
        <x:v>Machine API contract</x:v>
      </x:c>
      <x:c r="D10" t="str">
        <x:v>C0,C9</x:v>
      </x:c>
    </x:row>
    <x:row r="11">
      <x:c r="A11" t="str">
        <x:v>CO-09</x:v>
      </x:c>
      <x:c r="B11" t="str">
        <x:v>DEV-002A Contract Test Pack 2.0</x:v>
      </x:c>
      <x:c r="C11" t="str">
        <x:v>DB/API test spec</x:v>
      </x:c>
      <x:c r="D11" t="str">
        <x:v>C9</x:v>
      </x:c>
    </x:row>
    <x:row r="12">
      <x:c r="A12" t="str">
        <x:v>CO-10</x:v>
      </x:c>
      <x:c r="B12" t="str">
        <x:v>DEV-002A Contract Test SQL Pack 2.0.sql</x:v>
      </x:c>
      <x:c r="C12" t="str">
        <x:v>DB test automation</x:v>
      </x:c>
      <x:c r="D12" t="str">
        <x:v>C9</x:v>
      </x:c>
    </x:row>
    <x:row r="13">
      <x:c r="A13" t="str">
        <x:v>CO-11</x:v>
      </x:c>
      <x:c r="B13" t="str">
        <x:v>Church OS MVP Acceptance Test Pack 1.0</x:v>
      </x:c>
      <x:c r="C13" t="str">
        <x:v>Release test baseline</x:v>
      </x:c>
      <x:c r="D13" t="str">
        <x:v>C9</x:v>
      </x:c>
    </x:row>
    <x:row r="14">
      <x:c r="A14" t="str">
        <x:v>CO-12</x:v>
      </x:c>
      <x:c r="B14" t="str">
        <x:v>Church OS MVP Acceptance Test Matrix 1.0.csv</x:v>
      </x:c>
      <x:c r="C14" t="str">
        <x:v>Execution template</x:v>
      </x:c>
      <x:c r="D14" t="str">
        <x:v>C9</x:v>
      </x:c>
    </x:row>
    <x:row r="15">
      <x:c r="A15" t="str">
        <x:v>DGM-1.2</x:v>
      </x:c>
      <x:c r="B15" t="str">
        <x:v>DGM Developer Handoff &amp; Traceability Update 1.2</x:v>
      </x:c>
      <x:c r="C15" t="str">
        <x:v>Source hierarchy / CI / open decisions</x:v>
      </x:c>
      <x:c r="D15" t="str">
        <x:v>C0,C9,C10</x:v>
      </x:c>
    </x:row>
  </x:sheetData>
  <x:pageMargins left="0.7" right="0.7" top="0.75" bottom="0.75" header="0.3" footer="0.3"/>
  <x:tableParts count="1">
    <x:tablePart xmlns:r="http://schemas.openxmlformats.org/officeDocument/2006/relationships" r:id="R4ab37b4af5944373"/>
  </x:tableParts>
</x:worksheet>
</file>